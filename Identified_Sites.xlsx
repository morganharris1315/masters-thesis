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mh575_students_waikato_ac_nz/Documents/Masters Thesis/Research Proposal/"/>
    </mc:Choice>
  </mc:AlternateContent>
  <xr:revisionPtr revIDLastSave="195" documentId="8_{EABD1F11-F4B1-40A3-9CFD-BB65C930435E}" xr6:coauthVersionLast="47" xr6:coauthVersionMax="47" xr10:uidLastSave="{11F18751-7A61-4AB5-9E49-BA74397877ED}"/>
  <bookViews>
    <workbookView xWindow="11430" yWindow="0" windowWidth="7860" windowHeight="11370" xr2:uid="{E1C81688-BA58-47F4-863D-01C617BF8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5" i="1" l="1"/>
  <c r="G146" i="1"/>
  <c r="G140" i="1"/>
  <c r="G157" i="1"/>
  <c r="G161" i="1"/>
  <c r="G164" i="1"/>
  <c r="G150" i="1"/>
  <c r="G136" i="1"/>
  <c r="G138" i="1"/>
  <c r="G153" i="1"/>
  <c r="G166" i="1"/>
  <c r="G165" i="1"/>
  <c r="G168" i="1"/>
  <c r="G158" i="1"/>
  <c r="G163" i="1"/>
  <c r="G171" i="1"/>
  <c r="G169" i="1"/>
  <c r="G167" i="1"/>
  <c r="G143" i="1"/>
  <c r="G160" i="1"/>
  <c r="G130" i="1"/>
  <c r="G148" i="1"/>
  <c r="G170" i="1"/>
  <c r="G162" i="1"/>
  <c r="G118" i="1"/>
  <c r="G119" i="1"/>
  <c r="G121" i="1"/>
  <c r="G120" i="1"/>
  <c r="G114" i="1"/>
  <c r="G112" i="1"/>
  <c r="G123" i="1"/>
  <c r="G129" i="1"/>
  <c r="G126" i="1"/>
  <c r="G115" i="1"/>
  <c r="G131" i="1"/>
  <c r="G117" i="1"/>
  <c r="G132" i="1"/>
  <c r="G175" i="1"/>
  <c r="G176" i="1"/>
  <c r="G173" i="1"/>
  <c r="G178" i="1"/>
  <c r="G177" i="1"/>
  <c r="G172" i="1"/>
  <c r="G149" i="1"/>
  <c r="G152" i="1"/>
  <c r="G147" i="1"/>
  <c r="G151" i="1"/>
  <c r="G156" i="1"/>
  <c r="G144" i="1"/>
  <c r="G6" i="1"/>
  <c r="G5" i="1"/>
  <c r="G174" i="1"/>
  <c r="G18" i="1"/>
  <c r="G12" i="1"/>
  <c r="G25" i="1"/>
  <c r="G10" i="1"/>
  <c r="G9" i="1"/>
  <c r="G22" i="1"/>
  <c r="G29" i="1"/>
  <c r="G30" i="1"/>
  <c r="G33" i="1"/>
  <c r="G27" i="1"/>
  <c r="G23" i="1"/>
  <c r="G34" i="1"/>
  <c r="G44" i="1"/>
  <c r="G43" i="1"/>
  <c r="G19" i="1"/>
  <c r="G20" i="1"/>
  <c r="G16" i="1"/>
  <c r="G7" i="1"/>
  <c r="G8" i="1"/>
  <c r="G24" i="1"/>
  <c r="G14" i="1"/>
  <c r="G11" i="1"/>
  <c r="G13" i="1"/>
  <c r="G4" i="1"/>
  <c r="G3" i="1"/>
  <c r="G2" i="1"/>
  <c r="G15" i="1"/>
  <c r="G38" i="1"/>
  <c r="G36" i="1"/>
  <c r="G39" i="1"/>
  <c r="G40" i="1"/>
  <c r="G35" i="1"/>
  <c r="G31" i="1"/>
  <c r="G32" i="1"/>
  <c r="G26" i="1"/>
  <c r="G28" i="1"/>
  <c r="G21" i="1"/>
  <c r="G17" i="1"/>
  <c r="G47" i="1"/>
  <c r="G46" i="1"/>
  <c r="G48" i="1"/>
  <c r="G41" i="1"/>
  <c r="G37" i="1"/>
  <c r="G42" i="1"/>
  <c r="G51" i="1"/>
  <c r="G49" i="1"/>
  <c r="G45" i="1"/>
  <c r="G50" i="1"/>
  <c r="G52" i="1"/>
  <c r="G96" i="1"/>
  <c r="G99" i="1"/>
  <c r="G106" i="1"/>
  <c r="G98" i="1"/>
  <c r="G103" i="1"/>
  <c r="G97" i="1"/>
  <c r="G104" i="1"/>
  <c r="G105" i="1"/>
  <c r="G107" i="1"/>
  <c r="G95" i="1"/>
  <c r="G108" i="1"/>
  <c r="G109" i="1"/>
  <c r="G110" i="1"/>
  <c r="G100" i="1"/>
  <c r="G101" i="1"/>
  <c r="G94" i="1"/>
  <c r="G93" i="1"/>
  <c r="G91" i="1"/>
  <c r="G90" i="1"/>
  <c r="G102" i="1"/>
</calcChain>
</file>

<file path=xl/sharedStrings.xml><?xml version="1.0" encoding="utf-8"?>
<sst xmlns="http://schemas.openxmlformats.org/spreadsheetml/2006/main" count="362" uniqueCount="188">
  <si>
    <t>Station</t>
  </si>
  <si>
    <t>Latitude</t>
  </si>
  <si>
    <t>Longitude</t>
  </si>
  <si>
    <t>StartYear</t>
  </si>
  <si>
    <t>EndYear</t>
  </si>
  <si>
    <t>RecordLength</t>
  </si>
  <si>
    <t>CaseStudy</t>
  </si>
  <si>
    <t>AgentNo</t>
  </si>
  <si>
    <t>Coromandel</t>
  </si>
  <si>
    <t>Chiltern</t>
  </si>
  <si>
    <t>Thames 2</t>
  </si>
  <si>
    <t>Tauira</t>
  </si>
  <si>
    <t>Rings Beach</t>
  </si>
  <si>
    <t>Te Puru</t>
  </si>
  <si>
    <t>Coromandel P.O</t>
  </si>
  <si>
    <t>Kauaeranga Forest</t>
  </si>
  <si>
    <t>Whangapoua 2</t>
  </si>
  <si>
    <t>Kennedy Bay</t>
  </si>
  <si>
    <t>Tairua Forest</t>
  </si>
  <si>
    <t>Waikawau Bay</t>
  </si>
  <si>
    <t>Sandy Bay</t>
  </si>
  <si>
    <t>Stony Bay</t>
  </si>
  <si>
    <t>Coromandel, Coroglen</t>
  </si>
  <si>
    <t>Whitianga Aero AWS</t>
  </si>
  <si>
    <t>Whangamata</t>
  </si>
  <si>
    <t>Waihi</t>
  </si>
  <si>
    <t>Karangahake Gorge</t>
  </si>
  <si>
    <t>Athenree 2</t>
  </si>
  <si>
    <t>Top South Island</t>
  </si>
  <si>
    <t>Opouri Valley</t>
  </si>
  <si>
    <t>Wakefield, Dovedale</t>
  </si>
  <si>
    <t>Brandy Creek</t>
  </si>
  <si>
    <t>Graham V. Pokororo</t>
  </si>
  <si>
    <t>Uruwhenua</t>
  </si>
  <si>
    <t>Upper Takaka 2</t>
  </si>
  <si>
    <t>Marshlands</t>
  </si>
  <si>
    <t>Spring Creek</t>
  </si>
  <si>
    <t>Grovetown 2</t>
  </si>
  <si>
    <t>Seaview</t>
  </si>
  <si>
    <t>Ugbrooke</t>
  </si>
  <si>
    <t>Ocean Bay</t>
  </si>
  <si>
    <t>Blenheim</t>
  </si>
  <si>
    <t>Fairhall</t>
  </si>
  <si>
    <t>Sevenoaks</t>
  </si>
  <si>
    <t>Grassmere Salt Works</t>
  </si>
  <si>
    <t>Cape Campbell</t>
  </si>
  <si>
    <t>Ward, Chancet</t>
  </si>
  <si>
    <t>Fabians Valley</t>
  </si>
  <si>
    <t>The Brothers Light</t>
  </si>
  <si>
    <t>Motueka, Hubert St</t>
  </si>
  <si>
    <t>Motueka, Riwaka</t>
  </si>
  <si>
    <t>Motueka, Riwaka EWS</t>
  </si>
  <si>
    <t>Lower Moutere</t>
  </si>
  <si>
    <t>Mapua</t>
  </si>
  <si>
    <t>Harakeke</t>
  </si>
  <si>
    <t>Nelson Aero</t>
  </si>
  <si>
    <t>Appleby</t>
  </si>
  <si>
    <t>Brightwater 2</t>
  </si>
  <si>
    <t>Kohatu, Highfield 2</t>
  </si>
  <si>
    <t>Bainham</t>
  </si>
  <si>
    <t>Tarakohe</t>
  </si>
  <si>
    <t>Paturau 2</t>
  </si>
  <si>
    <t>Cobb Power Station</t>
  </si>
  <si>
    <t>Cobb Dam</t>
  </si>
  <si>
    <t>Riwaka Valley</t>
  </si>
  <si>
    <t>Farewell Spit</t>
  </si>
  <si>
    <t>Pakawau 2</t>
  </si>
  <si>
    <t>Takaka Pohara</t>
  </si>
  <si>
    <t>Kaihoka</t>
  </si>
  <si>
    <t>Farewell Spit Aws</t>
  </si>
  <si>
    <t>Onamalutu, Ashdown Stn</t>
  </si>
  <si>
    <t>Wairau Vly, Southwold</t>
  </si>
  <si>
    <t>Canvastown, Wakamarina</t>
  </si>
  <si>
    <t>Tyntesfield</t>
  </si>
  <si>
    <t>Glenmae</t>
  </si>
  <si>
    <t>Roding River</t>
  </si>
  <si>
    <t>Linkwater</t>
  </si>
  <si>
    <t>Nelson</t>
  </si>
  <si>
    <t>The Branch</t>
  </si>
  <si>
    <t>Awatere Valley, Hillside</t>
  </si>
  <si>
    <t>Paua Blk Parengarenga</t>
  </si>
  <si>
    <t>Far North</t>
  </si>
  <si>
    <t>Parengarenga</t>
  </si>
  <si>
    <t>Te Paki Stn, Te Hapua</t>
  </si>
  <si>
    <t>Cape View</t>
  </si>
  <si>
    <t>Cape Reinga Aws</t>
  </si>
  <si>
    <t>Cape Reinga</t>
  </si>
  <si>
    <t>Waiharara</t>
  </si>
  <si>
    <t>Kohukohu</t>
  </si>
  <si>
    <t>Umawera</t>
  </si>
  <si>
    <t>Rawene 2</t>
  </si>
  <si>
    <t>Rangiahua</t>
  </si>
  <si>
    <t>Wekaweka</t>
  </si>
  <si>
    <t>Taus Falls</t>
  </si>
  <si>
    <t>Honeymoon Valley</t>
  </si>
  <si>
    <t>Broadwood</t>
  </si>
  <si>
    <t>Opononi</t>
  </si>
  <si>
    <t>Kaikohe</t>
  </si>
  <si>
    <t>Kaikohe Aws</t>
  </si>
  <si>
    <t>Fairburn</t>
  </si>
  <si>
    <t>Puhata</t>
  </si>
  <si>
    <t>Waipoua Visitor Centre</t>
  </si>
  <si>
    <t>Waimatenui 2</t>
  </si>
  <si>
    <t>Herekino</t>
  </si>
  <si>
    <t>Kaeo</t>
  </si>
  <si>
    <t>Rangitihi</t>
  </si>
  <si>
    <t>Kaeo Northland</t>
  </si>
  <si>
    <t>Kerikeri Ews</t>
  </si>
  <si>
    <t>Whatoro</t>
  </si>
  <si>
    <t>Kaitaia</t>
  </si>
  <si>
    <t>Mangonui</t>
  </si>
  <si>
    <t>Kaingaroa North</t>
  </si>
  <si>
    <t>Kaitaia Aero</t>
  </si>
  <si>
    <t>Motatau, Opahi Stn</t>
  </si>
  <si>
    <t>Ahipara</t>
  </si>
  <si>
    <t>Glenmont, Pakotai</t>
  </si>
  <si>
    <t>Kawakawa Water Treatment Plant</t>
  </si>
  <si>
    <t>Waipapakauri</t>
  </si>
  <si>
    <t>Purerua AWS</t>
  </si>
  <si>
    <t>Arapohue</t>
  </si>
  <si>
    <t>Dargaville</t>
  </si>
  <si>
    <t>Mamaranui</t>
  </si>
  <si>
    <t>Mangarata</t>
  </si>
  <si>
    <t>Ruawai</t>
  </si>
  <si>
    <t>Ruawai, Claren Brae</t>
  </si>
  <si>
    <t>Tangihua</t>
  </si>
  <si>
    <t>Parakao</t>
  </si>
  <si>
    <t>Wairua Falls</t>
  </si>
  <si>
    <t>Paparoa 1</t>
  </si>
  <si>
    <t>Titoki</t>
  </si>
  <si>
    <t>Taipuha</t>
  </si>
  <si>
    <t>Puhi-Puhi</t>
  </si>
  <si>
    <t>Russell</t>
  </si>
  <si>
    <t>Hikurangi</t>
  </si>
  <si>
    <t>Matapouri</t>
  </si>
  <si>
    <t>Cape Brett Lighthouse</t>
  </si>
  <si>
    <t>Glenbervie Forest</t>
  </si>
  <si>
    <t>Ruatangata</t>
  </si>
  <si>
    <t>Ruatangata No 2</t>
  </si>
  <si>
    <t>Whangarei</t>
  </si>
  <si>
    <t>Pipiwai</t>
  </si>
  <si>
    <t>Kerikeri Aero 2</t>
  </si>
  <si>
    <t>Maungatapere</t>
  </si>
  <si>
    <t>Whangarei Aero</t>
  </si>
  <si>
    <t>Whangarei Aero AWS</t>
  </si>
  <si>
    <t>Mangapai</t>
  </si>
  <si>
    <t>Waipu Cove</t>
  </si>
  <si>
    <t>Maungaturoto, Melford</t>
  </si>
  <si>
    <t>Mangawhai</t>
  </si>
  <si>
    <t>Waikato</t>
  </si>
  <si>
    <t>Hamilton Aero</t>
  </si>
  <si>
    <t>Hamilton Aero Aws</t>
  </si>
  <si>
    <t>Rukuhia</t>
  </si>
  <si>
    <t>Hamilton</t>
  </si>
  <si>
    <t>Ngahinapouri</t>
  </si>
  <si>
    <t>Hamilton, Ruakura</t>
  </si>
  <si>
    <t>Cambridge</t>
  </si>
  <si>
    <t>Te Awamutu</t>
  </si>
  <si>
    <t>Morrinsville Library</t>
  </si>
  <si>
    <t>Ngutunui</t>
  </si>
  <si>
    <t>Morrinsville, George St</t>
  </si>
  <si>
    <t>Morrinsville</t>
  </si>
  <si>
    <t>Pohaturoa</t>
  </si>
  <si>
    <t>Orini</t>
  </si>
  <si>
    <t>Otorohanga, Glenbrook</t>
  </si>
  <si>
    <t>Huntly</t>
  </si>
  <si>
    <t>Otorohanga</t>
  </si>
  <si>
    <t>Kereone</t>
  </si>
  <si>
    <t>Raglan 2</t>
  </si>
  <si>
    <t>Matamata, Hinuera Ews</t>
  </si>
  <si>
    <t>Arapuni Power Stn</t>
  </si>
  <si>
    <t>Raglan, Karioi</t>
  </si>
  <si>
    <t>Waitoa, No7 Road</t>
  </si>
  <si>
    <t>Matamata, Calders Fm</t>
  </si>
  <si>
    <t>Ngarua</t>
  </si>
  <si>
    <t>Otorohanga 2</t>
  </si>
  <si>
    <t>Waitoa</t>
  </si>
  <si>
    <t>Matamata, Smith St</t>
  </si>
  <si>
    <t>Matamata</t>
  </si>
  <si>
    <t>Springdale</t>
  </si>
  <si>
    <t>Hoe-o-Tainui</t>
  </si>
  <si>
    <t>Waitomo Caves</t>
  </si>
  <si>
    <t>Putaruru 2</t>
  </si>
  <si>
    <t>Waitomo Caves 2</t>
  </si>
  <si>
    <t>Matamata Okauia</t>
  </si>
  <si>
    <t>Te Aroha, Bowler Road</t>
  </si>
  <si>
    <t>Matahuru Gorge</t>
  </si>
  <si>
    <t>Elstow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</si>
</sst>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92CDA-993E-4312-964F-E076A099BE86}" name="Table1" displayName="Table1" ref="A1:H178" totalsRowShown="0" headerRowDxfId="9" dataDxfId="8">
  <autoFilter ref="A1:H178" xr:uid="{C4592CDA-993E-4312-964F-E076A099BE86}"/>
  <sortState xmlns:xlrd2="http://schemas.microsoft.com/office/spreadsheetml/2017/richdata2" ref="A2:H178">
    <sortCondition ref="C1:C178"/>
  </sortState>
  <tableColumns count="8">
    <tableColumn id="1" xr3:uid="{328C54D0-B141-4DDC-B68E-704852F0DAF5}" name="Station" dataDxfId="7"/>
    <tableColumn id="2" xr3:uid="{BE6EA957-67E7-43F1-85C7-BB89D6EAA918}" name="AgentNo" dataDxfId="6"/>
    <tableColumn id="3" xr3:uid="{72E541A4-8BF3-4432-AD45-111CC78EB183}" name="Latitude" dataDxfId="5"/>
    <tableColumn id="4" xr3:uid="{855B8D18-979B-47A7-AE26-887ED0CC1D2D}" name="Longitude" dataDxfId="4"/>
    <tableColumn id="5" xr3:uid="{F102F2D1-7916-489D-B5A5-A4B62165DB27}" name="StartYear" dataDxfId="3"/>
    <tableColumn id="6" xr3:uid="{CEE6D86B-A033-48DA-8EA3-B8FF3747C352}" name="EndYear" dataDxfId="2"/>
    <tableColumn id="7" xr3:uid="{B1CF95C5-3AD8-4DA6-B43C-917B15F35CCA}" name="RecordLength" dataDxfId="1"/>
    <tableColumn id="8" xr3:uid="{232CFC01-CC0A-4D7C-A165-641A683BD1B6}" name="CaseStud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BEA8-4624-413A-B34F-BC52823DF93C}">
  <dimension ref="A1:H178"/>
  <sheetViews>
    <sheetView tabSelected="1" topLeftCell="H1" zoomScale="108" workbookViewId="0">
      <selection activeCell="K93" sqref="K93"/>
    </sheetView>
  </sheetViews>
  <sheetFormatPr defaultRowHeight="14.5" x14ac:dyDescent="0.35"/>
  <cols>
    <col min="1" max="1" width="23.26953125" customWidth="1"/>
    <col min="2" max="2" width="10.26953125" customWidth="1"/>
    <col min="3" max="3" width="10" customWidth="1"/>
    <col min="4" max="4" width="11.453125" customWidth="1"/>
    <col min="5" max="5" width="10.81640625" customWidth="1"/>
    <col min="6" max="6" width="10" customWidth="1"/>
    <col min="7" max="7" width="14.90625" customWidth="1"/>
    <col min="8" max="8" width="24.0898437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46</v>
      </c>
      <c r="B2" s="2">
        <v>4425</v>
      </c>
      <c r="C2" s="2">
        <v>-41.831000000000003</v>
      </c>
      <c r="D2" s="2">
        <v>174.17099999999999</v>
      </c>
      <c r="E2" s="2">
        <v>1913</v>
      </c>
      <c r="F2" s="2">
        <v>2025</v>
      </c>
      <c r="G2" s="2">
        <f t="shared" ref="G2:G33" si="0">F2-E2</f>
        <v>112</v>
      </c>
      <c r="H2" s="2" t="s">
        <v>28</v>
      </c>
    </row>
    <row r="3" spans="1:8" x14ac:dyDescent="0.35">
      <c r="A3" s="2" t="s">
        <v>45</v>
      </c>
      <c r="B3" s="2">
        <v>4423</v>
      </c>
      <c r="C3" s="2">
        <v>-41.731000000000002</v>
      </c>
      <c r="D3" s="2">
        <v>174.274</v>
      </c>
      <c r="E3" s="2">
        <v>1890</v>
      </c>
      <c r="F3" s="2">
        <v>1986</v>
      </c>
      <c r="G3" s="2">
        <f t="shared" si="0"/>
        <v>96</v>
      </c>
      <c r="H3" s="2" t="s">
        <v>28</v>
      </c>
    </row>
    <row r="4" spans="1:8" x14ac:dyDescent="0.35">
      <c r="A4" s="2" t="s">
        <v>44</v>
      </c>
      <c r="B4" s="2">
        <v>4420</v>
      </c>
      <c r="C4" s="2">
        <v>-41.728999999999999</v>
      </c>
      <c r="D4" s="2">
        <v>174.14500000000001</v>
      </c>
      <c r="E4" s="2">
        <v>1943</v>
      </c>
      <c r="F4" s="2">
        <v>2024</v>
      </c>
      <c r="G4" s="2">
        <f t="shared" si="0"/>
        <v>81</v>
      </c>
      <c r="H4" s="2" t="s">
        <v>28</v>
      </c>
    </row>
    <row r="5" spans="1:8" x14ac:dyDescent="0.35">
      <c r="A5" s="2" t="s">
        <v>79</v>
      </c>
      <c r="B5" s="2">
        <v>4376</v>
      </c>
      <c r="C5" s="2">
        <v>-41.725000000000001</v>
      </c>
      <c r="D5" s="2">
        <v>173.928</v>
      </c>
      <c r="E5" s="2">
        <v>1930</v>
      </c>
      <c r="F5" s="2">
        <v>2006</v>
      </c>
      <c r="G5" s="2">
        <f t="shared" si="0"/>
        <v>76</v>
      </c>
      <c r="H5" s="2" t="s">
        <v>28</v>
      </c>
    </row>
    <row r="6" spans="1:8" x14ac:dyDescent="0.35">
      <c r="A6" s="2" t="s">
        <v>78</v>
      </c>
      <c r="B6" s="2">
        <v>4338</v>
      </c>
      <c r="C6" s="2">
        <v>-41.680999999999997</v>
      </c>
      <c r="D6" s="2">
        <v>173.17699999999999</v>
      </c>
      <c r="E6" s="2">
        <v>1936</v>
      </c>
      <c r="F6" s="2">
        <v>1979</v>
      </c>
      <c r="G6" s="2">
        <f t="shared" si="0"/>
        <v>43</v>
      </c>
      <c r="H6" s="2" t="s">
        <v>28</v>
      </c>
    </row>
    <row r="7" spans="1:8" x14ac:dyDescent="0.35">
      <c r="A7" s="2" t="s">
        <v>38</v>
      </c>
      <c r="B7" s="2">
        <v>4416</v>
      </c>
      <c r="C7" s="2">
        <v>-41.61627</v>
      </c>
      <c r="D7" s="2">
        <v>174.14928</v>
      </c>
      <c r="E7" s="2">
        <v>1931</v>
      </c>
      <c r="F7" s="2">
        <v>2007</v>
      </c>
      <c r="G7" s="2">
        <f t="shared" si="0"/>
        <v>76</v>
      </c>
      <c r="H7" s="2" t="s">
        <v>28</v>
      </c>
    </row>
    <row r="8" spans="1:8" x14ac:dyDescent="0.35">
      <c r="A8" s="2" t="s">
        <v>39</v>
      </c>
      <c r="B8" s="2">
        <v>4418</v>
      </c>
      <c r="C8" s="2">
        <v>-41.615000000000002</v>
      </c>
      <c r="D8" s="2">
        <v>174.10400000000001</v>
      </c>
      <c r="E8" s="2">
        <v>1909</v>
      </c>
      <c r="F8" s="2">
        <v>1996</v>
      </c>
      <c r="G8" s="2">
        <f t="shared" si="0"/>
        <v>87</v>
      </c>
      <c r="H8" s="2" t="s">
        <v>28</v>
      </c>
    </row>
    <row r="9" spans="1:8" x14ac:dyDescent="0.35">
      <c r="A9" s="2" t="s">
        <v>74</v>
      </c>
      <c r="B9" s="2">
        <v>4343</v>
      </c>
      <c r="C9" s="2">
        <v>-41.612000000000002</v>
      </c>
      <c r="D9" s="2">
        <v>173.40100000000001</v>
      </c>
      <c r="E9" s="2">
        <v>1915</v>
      </c>
      <c r="F9" s="2">
        <v>2004</v>
      </c>
      <c r="G9" s="2">
        <f t="shared" si="0"/>
        <v>89</v>
      </c>
      <c r="H9" s="2" t="s">
        <v>28</v>
      </c>
    </row>
    <row r="10" spans="1:8" x14ac:dyDescent="0.35">
      <c r="A10" s="2" t="s">
        <v>73</v>
      </c>
      <c r="B10" s="2">
        <v>4347</v>
      </c>
      <c r="C10" s="2">
        <v>-41.606169999999999</v>
      </c>
      <c r="D10" s="2">
        <v>173.75659999999999</v>
      </c>
      <c r="E10" s="2">
        <v>1948</v>
      </c>
      <c r="F10" s="2">
        <v>2009</v>
      </c>
      <c r="G10" s="2">
        <f t="shared" si="0"/>
        <v>61</v>
      </c>
      <c r="H10" s="2" t="s">
        <v>28</v>
      </c>
    </row>
    <row r="11" spans="1:8" x14ac:dyDescent="0.35">
      <c r="A11" s="2" t="s">
        <v>42</v>
      </c>
      <c r="B11" s="2">
        <v>4324</v>
      </c>
      <c r="C11" s="2">
        <v>-41.56</v>
      </c>
      <c r="D11" s="2">
        <v>173.85</v>
      </c>
      <c r="E11" s="2">
        <v>1934</v>
      </c>
      <c r="F11" s="2">
        <v>1999</v>
      </c>
      <c r="G11" s="2">
        <f t="shared" si="0"/>
        <v>65</v>
      </c>
      <c r="H11" s="2" t="s">
        <v>28</v>
      </c>
    </row>
    <row r="12" spans="1:8" x14ac:dyDescent="0.35">
      <c r="A12" s="2" t="s">
        <v>71</v>
      </c>
      <c r="B12" s="2">
        <v>4319</v>
      </c>
      <c r="C12" s="2">
        <v>-41.546999999999997</v>
      </c>
      <c r="D12" s="2">
        <v>173.57400000000001</v>
      </c>
      <c r="E12" s="2">
        <v>1917</v>
      </c>
      <c r="F12" s="2">
        <v>2018</v>
      </c>
      <c r="G12" s="2">
        <f t="shared" si="0"/>
        <v>101</v>
      </c>
      <c r="H12" s="2" t="s">
        <v>28</v>
      </c>
    </row>
    <row r="13" spans="1:8" x14ac:dyDescent="0.35">
      <c r="A13" s="2" t="s">
        <v>43</v>
      </c>
      <c r="B13" s="2">
        <v>4323</v>
      </c>
      <c r="C13" s="2">
        <v>-41.536000000000001</v>
      </c>
      <c r="D13" s="2">
        <v>173.82599999999999</v>
      </c>
      <c r="E13" s="2">
        <v>1902</v>
      </c>
      <c r="F13" s="2">
        <v>2025</v>
      </c>
      <c r="G13" s="2">
        <f t="shared" si="0"/>
        <v>123</v>
      </c>
      <c r="H13" s="2" t="s">
        <v>28</v>
      </c>
    </row>
    <row r="14" spans="1:8" x14ac:dyDescent="0.35">
      <c r="A14" s="2" t="s">
        <v>41</v>
      </c>
      <c r="B14" s="2">
        <v>4331</v>
      </c>
      <c r="C14" s="2">
        <v>-41.511000000000003</v>
      </c>
      <c r="D14" s="2">
        <v>173.95400000000001</v>
      </c>
      <c r="E14" s="2">
        <v>1927</v>
      </c>
      <c r="F14" s="2">
        <v>1985</v>
      </c>
      <c r="G14" s="2">
        <f t="shared" si="0"/>
        <v>58</v>
      </c>
      <c r="H14" s="2" t="s">
        <v>28</v>
      </c>
    </row>
    <row r="15" spans="1:8" x14ac:dyDescent="0.35">
      <c r="A15" s="2" t="s">
        <v>47</v>
      </c>
      <c r="B15" s="2">
        <v>4318</v>
      </c>
      <c r="C15" s="2">
        <v>-41.509</v>
      </c>
      <c r="D15" s="2">
        <v>173.577</v>
      </c>
      <c r="E15" s="2">
        <v>1948</v>
      </c>
      <c r="F15" s="2">
        <v>2011</v>
      </c>
      <c r="G15" s="2">
        <f t="shared" si="0"/>
        <v>63</v>
      </c>
      <c r="H15" s="2" t="s">
        <v>28</v>
      </c>
    </row>
    <row r="16" spans="1:8" x14ac:dyDescent="0.35">
      <c r="A16" s="2" t="s">
        <v>37</v>
      </c>
      <c r="B16" s="2">
        <v>4307</v>
      </c>
      <c r="C16" s="2">
        <v>-41.482999999999997</v>
      </c>
      <c r="D16" s="2">
        <v>173.964</v>
      </c>
      <c r="E16" s="2">
        <v>1953</v>
      </c>
      <c r="F16" s="2">
        <v>1989</v>
      </c>
      <c r="G16" s="2">
        <f t="shared" si="0"/>
        <v>36</v>
      </c>
      <c r="H16" s="2" t="s">
        <v>28</v>
      </c>
    </row>
    <row r="17" spans="1:8" x14ac:dyDescent="0.35">
      <c r="A17" s="2" t="s">
        <v>58</v>
      </c>
      <c r="B17" s="2">
        <v>4192</v>
      </c>
      <c r="C17" s="2">
        <v>-41.481999999999999</v>
      </c>
      <c r="D17" s="2">
        <v>172.99</v>
      </c>
      <c r="E17" s="2">
        <v>1913</v>
      </c>
      <c r="F17" s="2">
        <v>2019</v>
      </c>
      <c r="G17" s="2">
        <f t="shared" si="0"/>
        <v>106</v>
      </c>
      <c r="H17" s="2" t="s">
        <v>28</v>
      </c>
    </row>
    <row r="18" spans="1:8" x14ac:dyDescent="0.35">
      <c r="A18" s="2" t="s">
        <v>70</v>
      </c>
      <c r="B18" s="2">
        <v>4296</v>
      </c>
      <c r="C18" s="2">
        <v>-41.463000000000001</v>
      </c>
      <c r="D18" s="2">
        <v>173.685</v>
      </c>
      <c r="E18" s="2">
        <v>1948</v>
      </c>
      <c r="F18" s="2">
        <v>1992</v>
      </c>
      <c r="G18" s="2">
        <f t="shared" si="0"/>
        <v>44</v>
      </c>
      <c r="H18" s="2" t="s">
        <v>28</v>
      </c>
    </row>
    <row r="19" spans="1:8" x14ac:dyDescent="0.35">
      <c r="A19" s="2" t="s">
        <v>35</v>
      </c>
      <c r="B19" s="2">
        <v>4408</v>
      </c>
      <c r="C19" s="2">
        <v>-41.451999999999998</v>
      </c>
      <c r="D19" s="2">
        <v>174.005</v>
      </c>
      <c r="E19" s="2">
        <v>1917</v>
      </c>
      <c r="F19" s="2">
        <v>1989</v>
      </c>
      <c r="G19" s="2">
        <f t="shared" si="0"/>
        <v>72</v>
      </c>
      <c r="H19" s="2" t="s">
        <v>28</v>
      </c>
    </row>
    <row r="20" spans="1:8" x14ac:dyDescent="0.35">
      <c r="A20" s="2" t="s">
        <v>36</v>
      </c>
      <c r="B20" s="2">
        <v>4308</v>
      </c>
      <c r="C20" s="2">
        <v>-41.433</v>
      </c>
      <c r="D20" s="2">
        <v>173.983</v>
      </c>
      <c r="E20" s="2">
        <v>1907</v>
      </c>
      <c r="F20" s="2">
        <v>1947</v>
      </c>
      <c r="G20" s="2">
        <f t="shared" si="0"/>
        <v>40</v>
      </c>
      <c r="H20" s="2" t="s">
        <v>28</v>
      </c>
    </row>
    <row r="21" spans="1:8" x14ac:dyDescent="0.35">
      <c r="A21" s="2" t="s">
        <v>57</v>
      </c>
      <c r="B21" s="2">
        <v>4266</v>
      </c>
      <c r="C21" s="2">
        <v>-41.378700000000002</v>
      </c>
      <c r="D21" s="2">
        <v>173.13900000000001</v>
      </c>
      <c r="E21" s="2">
        <v>1967</v>
      </c>
      <c r="F21" s="2">
        <v>2025</v>
      </c>
      <c r="G21" s="2">
        <f t="shared" si="0"/>
        <v>58</v>
      </c>
      <c r="H21" s="2" t="s">
        <v>28</v>
      </c>
    </row>
    <row r="22" spans="1:8" x14ac:dyDescent="0.35">
      <c r="A22" s="2" t="s">
        <v>75</v>
      </c>
      <c r="B22" s="2">
        <v>4270</v>
      </c>
      <c r="C22" s="2">
        <v>-41.359000000000002</v>
      </c>
      <c r="D22" s="2">
        <v>173.261</v>
      </c>
      <c r="E22" s="2">
        <v>1944</v>
      </c>
      <c r="F22" s="2">
        <v>2025</v>
      </c>
      <c r="G22" s="2">
        <f t="shared" si="0"/>
        <v>81</v>
      </c>
      <c r="H22" s="2" t="s">
        <v>28</v>
      </c>
    </row>
    <row r="23" spans="1:8" x14ac:dyDescent="0.35">
      <c r="A23" s="2" t="s">
        <v>31</v>
      </c>
      <c r="B23" s="2">
        <v>4182</v>
      </c>
      <c r="C23" s="2">
        <v>-41.348999999999997</v>
      </c>
      <c r="D23" s="2">
        <v>172.93700000000001</v>
      </c>
      <c r="E23" s="2">
        <v>1985</v>
      </c>
      <c r="F23" s="2">
        <v>2016</v>
      </c>
      <c r="G23" s="2">
        <f t="shared" si="0"/>
        <v>31</v>
      </c>
      <c r="H23" s="2" t="s">
        <v>28</v>
      </c>
    </row>
    <row r="24" spans="1:8" x14ac:dyDescent="0.35">
      <c r="A24" s="2" t="s">
        <v>40</v>
      </c>
      <c r="B24" s="2">
        <v>4407</v>
      </c>
      <c r="C24" s="2">
        <v>-41.335999999999999</v>
      </c>
      <c r="D24" s="2">
        <v>174.096</v>
      </c>
      <c r="E24" s="2">
        <v>1925</v>
      </c>
      <c r="F24" s="2">
        <v>2025</v>
      </c>
      <c r="G24" s="2">
        <f t="shared" si="0"/>
        <v>100</v>
      </c>
      <c r="H24" s="2" t="s">
        <v>28</v>
      </c>
    </row>
    <row r="25" spans="1:8" x14ac:dyDescent="0.35">
      <c r="A25" s="2" t="s">
        <v>72</v>
      </c>
      <c r="B25" s="2">
        <v>4282</v>
      </c>
      <c r="C25" s="2">
        <v>-41.302</v>
      </c>
      <c r="D25" s="2">
        <v>173.667</v>
      </c>
      <c r="E25" s="2">
        <v>1950</v>
      </c>
      <c r="F25" s="2">
        <v>2005</v>
      </c>
      <c r="G25" s="2">
        <f t="shared" si="0"/>
        <v>55</v>
      </c>
      <c r="H25" s="2" t="s">
        <v>28</v>
      </c>
    </row>
    <row r="26" spans="1:8" x14ac:dyDescent="0.35">
      <c r="A26" s="2" t="s">
        <v>55</v>
      </c>
      <c r="B26" s="2">
        <v>4241</v>
      </c>
      <c r="C26" s="2">
        <v>-41.298999999999999</v>
      </c>
      <c r="D26" s="2">
        <v>173.226</v>
      </c>
      <c r="E26" s="2">
        <v>1941</v>
      </c>
      <c r="F26" s="2">
        <v>2025</v>
      </c>
      <c r="G26" s="2">
        <f t="shared" si="0"/>
        <v>84</v>
      </c>
      <c r="H26" s="2" t="s">
        <v>28</v>
      </c>
    </row>
    <row r="27" spans="1:8" x14ac:dyDescent="0.35">
      <c r="A27" s="2" t="s">
        <v>30</v>
      </c>
      <c r="B27" s="2">
        <v>4179</v>
      </c>
      <c r="C27" s="2">
        <v>-41.298000000000002</v>
      </c>
      <c r="D27" s="2">
        <v>172.91</v>
      </c>
      <c r="E27" s="2">
        <v>1947</v>
      </c>
      <c r="F27" s="2">
        <v>1986</v>
      </c>
      <c r="G27" s="2">
        <f t="shared" si="0"/>
        <v>39</v>
      </c>
      <c r="H27" s="2" t="s">
        <v>28</v>
      </c>
    </row>
    <row r="28" spans="1:8" x14ac:dyDescent="0.35">
      <c r="A28" s="2" t="s">
        <v>56</v>
      </c>
      <c r="B28" s="2">
        <v>4239</v>
      </c>
      <c r="C28" s="2">
        <v>-41.292999999999999</v>
      </c>
      <c r="D28" s="2">
        <v>173.09899999999999</v>
      </c>
      <c r="E28" s="2">
        <v>1932</v>
      </c>
      <c r="F28" s="2">
        <v>1996</v>
      </c>
      <c r="G28" s="2">
        <f t="shared" si="0"/>
        <v>64</v>
      </c>
      <c r="H28" s="2" t="s">
        <v>28</v>
      </c>
    </row>
    <row r="29" spans="1:8" x14ac:dyDescent="0.35">
      <c r="A29" s="2" t="s">
        <v>76</v>
      </c>
      <c r="B29" s="2">
        <v>4255</v>
      </c>
      <c r="C29" s="2">
        <v>-41.290999999999997</v>
      </c>
      <c r="D29" s="2">
        <v>173.87200000000001</v>
      </c>
      <c r="E29" s="2">
        <v>1938</v>
      </c>
      <c r="F29" s="2">
        <v>2025</v>
      </c>
      <c r="G29" s="2">
        <f t="shared" si="0"/>
        <v>87</v>
      </c>
      <c r="H29" s="2" t="s">
        <v>28</v>
      </c>
    </row>
    <row r="30" spans="1:8" x14ac:dyDescent="0.35">
      <c r="A30" s="2" t="s">
        <v>77</v>
      </c>
      <c r="B30" s="2">
        <v>4244</v>
      </c>
      <c r="C30" s="2">
        <v>-41.274999999999999</v>
      </c>
      <c r="D30" s="2">
        <v>173.29499999999999</v>
      </c>
      <c r="E30" s="2">
        <v>1862</v>
      </c>
      <c r="F30" s="2">
        <v>1952</v>
      </c>
      <c r="G30" s="2">
        <f t="shared" si="0"/>
        <v>90</v>
      </c>
      <c r="H30" s="2" t="s">
        <v>28</v>
      </c>
    </row>
    <row r="31" spans="1:8" x14ac:dyDescent="0.35">
      <c r="A31" s="2" t="s">
        <v>53</v>
      </c>
      <c r="B31" s="2">
        <v>4236</v>
      </c>
      <c r="C31" s="2">
        <v>-41.250999999999998</v>
      </c>
      <c r="D31" s="2">
        <v>173.08799999999999</v>
      </c>
      <c r="E31" s="2">
        <v>1922</v>
      </c>
      <c r="F31" s="2">
        <v>2025</v>
      </c>
      <c r="G31" s="2">
        <f t="shared" si="0"/>
        <v>103</v>
      </c>
      <c r="H31" s="2" t="s">
        <v>28</v>
      </c>
    </row>
    <row r="32" spans="1:8" x14ac:dyDescent="0.35">
      <c r="A32" s="2" t="s">
        <v>54</v>
      </c>
      <c r="B32" s="2">
        <v>4234</v>
      </c>
      <c r="C32" s="2">
        <v>-41.223999999999997</v>
      </c>
      <c r="D32" s="2">
        <v>173.01</v>
      </c>
      <c r="E32" s="2">
        <v>1913</v>
      </c>
      <c r="F32" s="2">
        <v>1987</v>
      </c>
      <c r="G32" s="2">
        <f t="shared" si="0"/>
        <v>74</v>
      </c>
      <c r="H32" s="2" t="s">
        <v>28</v>
      </c>
    </row>
    <row r="33" spans="1:8" x14ac:dyDescent="0.35">
      <c r="A33" s="2" t="s">
        <v>29</v>
      </c>
      <c r="B33" s="2">
        <v>4251</v>
      </c>
      <c r="C33" s="2">
        <v>-41.216999999999999</v>
      </c>
      <c r="D33" s="2">
        <v>173.68299999999999</v>
      </c>
      <c r="E33" s="2">
        <v>1921</v>
      </c>
      <c r="F33" s="2">
        <v>1967</v>
      </c>
      <c r="G33" s="2">
        <f t="shared" si="0"/>
        <v>46</v>
      </c>
      <c r="H33" s="2" t="s">
        <v>28</v>
      </c>
    </row>
    <row r="34" spans="1:8" x14ac:dyDescent="0.35">
      <c r="A34" s="2" t="s">
        <v>32</v>
      </c>
      <c r="B34" s="2">
        <v>4167</v>
      </c>
      <c r="C34" s="2">
        <v>-41.203000000000003</v>
      </c>
      <c r="D34" s="2">
        <v>172.82400000000001</v>
      </c>
      <c r="E34" s="2">
        <v>1947</v>
      </c>
      <c r="F34" s="2">
        <v>2010</v>
      </c>
      <c r="G34" s="2">
        <f t="shared" ref="G34:G65" si="1">F34-E34</f>
        <v>63</v>
      </c>
      <c r="H34" s="2" t="s">
        <v>28</v>
      </c>
    </row>
    <row r="35" spans="1:8" x14ac:dyDescent="0.35">
      <c r="A35" s="2" t="s">
        <v>52</v>
      </c>
      <c r="B35" s="2">
        <v>4164</v>
      </c>
      <c r="C35" s="2">
        <v>-41.156999999999996</v>
      </c>
      <c r="D35" s="2">
        <v>172.994</v>
      </c>
      <c r="E35" s="2">
        <v>1961</v>
      </c>
      <c r="F35" s="2">
        <v>1999</v>
      </c>
      <c r="G35" s="2">
        <f t="shared" si="1"/>
        <v>38</v>
      </c>
      <c r="H35" s="2" t="s">
        <v>28</v>
      </c>
    </row>
    <row r="36" spans="1:8" x14ac:dyDescent="0.35">
      <c r="A36" s="2" t="s">
        <v>49</v>
      </c>
      <c r="B36" s="2">
        <v>4214</v>
      </c>
      <c r="C36" s="2">
        <v>-41.112000000000002</v>
      </c>
      <c r="D36" s="2">
        <v>173.018</v>
      </c>
      <c r="E36" s="2">
        <v>1897</v>
      </c>
      <c r="F36" s="2">
        <v>1985</v>
      </c>
      <c r="G36" s="2">
        <f t="shared" si="1"/>
        <v>88</v>
      </c>
      <c r="H36" s="2" t="s">
        <v>28</v>
      </c>
    </row>
    <row r="37" spans="1:8" x14ac:dyDescent="0.35">
      <c r="A37" s="2" t="s">
        <v>63</v>
      </c>
      <c r="B37" s="2">
        <v>3841</v>
      </c>
      <c r="C37" s="2">
        <v>-41.109000000000002</v>
      </c>
      <c r="D37" s="2">
        <v>172.68600000000001</v>
      </c>
      <c r="E37" s="2">
        <v>1946</v>
      </c>
      <c r="F37" s="2">
        <v>1988</v>
      </c>
      <c r="G37" s="2">
        <f t="shared" si="1"/>
        <v>42</v>
      </c>
      <c r="H37" s="2" t="s">
        <v>28</v>
      </c>
    </row>
    <row r="38" spans="1:8" x14ac:dyDescent="0.35">
      <c r="A38" s="2" t="s">
        <v>48</v>
      </c>
      <c r="B38" s="2">
        <v>4394</v>
      </c>
      <c r="C38" s="2">
        <v>-41.103200000000001</v>
      </c>
      <c r="D38" s="2">
        <v>174.44167999999999</v>
      </c>
      <c r="E38" s="2">
        <v>1881</v>
      </c>
      <c r="F38" s="2">
        <v>1990</v>
      </c>
      <c r="G38" s="2">
        <f t="shared" si="1"/>
        <v>109</v>
      </c>
      <c r="H38" s="2" t="s">
        <v>28</v>
      </c>
    </row>
    <row r="39" spans="1:8" x14ac:dyDescent="0.35">
      <c r="A39" s="2" t="s">
        <v>50</v>
      </c>
      <c r="B39" s="2">
        <v>4162</v>
      </c>
      <c r="C39" s="2">
        <v>-41.097999999999999</v>
      </c>
      <c r="D39" s="2">
        <v>172.97200000000001</v>
      </c>
      <c r="E39" s="2">
        <v>1956</v>
      </c>
      <c r="F39" s="2">
        <v>1995</v>
      </c>
      <c r="G39" s="2">
        <f t="shared" si="1"/>
        <v>39</v>
      </c>
      <c r="H39" s="2" t="s">
        <v>28</v>
      </c>
    </row>
    <row r="40" spans="1:8" x14ac:dyDescent="0.35">
      <c r="A40" s="2" t="s">
        <v>51</v>
      </c>
      <c r="B40" s="2">
        <v>12429</v>
      </c>
      <c r="C40" s="2">
        <v>-41.09798</v>
      </c>
      <c r="D40" s="2">
        <v>172.97165000000001</v>
      </c>
      <c r="E40" s="2">
        <v>1995</v>
      </c>
      <c r="F40" s="2">
        <v>2025</v>
      </c>
      <c r="G40" s="2">
        <f t="shared" si="1"/>
        <v>30</v>
      </c>
      <c r="H40" s="2" t="s">
        <v>28</v>
      </c>
    </row>
    <row r="41" spans="1:8" x14ac:dyDescent="0.35">
      <c r="A41" s="2" t="s">
        <v>62</v>
      </c>
      <c r="B41" s="2">
        <v>3832</v>
      </c>
      <c r="C41" s="2">
        <v>-41.088000000000001</v>
      </c>
      <c r="D41" s="2">
        <v>172.73099999999999</v>
      </c>
      <c r="E41" s="2">
        <v>1939</v>
      </c>
      <c r="F41" s="2">
        <v>2024</v>
      </c>
      <c r="G41" s="2">
        <f t="shared" si="1"/>
        <v>85</v>
      </c>
      <c r="H41" s="2" t="s">
        <v>28</v>
      </c>
    </row>
    <row r="42" spans="1:8" x14ac:dyDescent="0.35">
      <c r="A42" s="2" t="s">
        <v>64</v>
      </c>
      <c r="B42" s="2">
        <v>4157</v>
      </c>
      <c r="C42" s="2">
        <v>-41.052999999999997</v>
      </c>
      <c r="D42" s="2">
        <v>172.91800000000001</v>
      </c>
      <c r="E42" s="2">
        <v>1947</v>
      </c>
      <c r="F42" s="2">
        <v>1998</v>
      </c>
      <c r="G42" s="2">
        <f t="shared" si="1"/>
        <v>51</v>
      </c>
      <c r="H42" s="2" t="s">
        <v>28</v>
      </c>
    </row>
    <row r="43" spans="1:8" x14ac:dyDescent="0.35">
      <c r="A43" s="2" t="s">
        <v>34</v>
      </c>
      <c r="B43" s="2">
        <v>11519</v>
      </c>
      <c r="C43" s="2">
        <v>-41.015160000000002</v>
      </c>
      <c r="D43" s="2">
        <v>172.82581999999999</v>
      </c>
      <c r="E43" s="2">
        <v>1995</v>
      </c>
      <c r="F43" s="2">
        <v>2025</v>
      </c>
      <c r="G43" s="2">
        <f t="shared" si="1"/>
        <v>30</v>
      </c>
      <c r="H43" s="2" t="s">
        <v>28</v>
      </c>
    </row>
    <row r="44" spans="1:8" x14ac:dyDescent="0.35">
      <c r="A44" s="2" t="s">
        <v>33</v>
      </c>
      <c r="B44" s="2">
        <v>3796</v>
      </c>
      <c r="C44" s="2">
        <v>-40.984000000000002</v>
      </c>
      <c r="D44" s="2">
        <v>172.81700000000001</v>
      </c>
      <c r="E44" s="2">
        <v>1948</v>
      </c>
      <c r="F44" s="2">
        <v>1997</v>
      </c>
      <c r="G44" s="2">
        <f t="shared" si="1"/>
        <v>49</v>
      </c>
      <c r="H44" s="2" t="s">
        <v>28</v>
      </c>
    </row>
    <row r="45" spans="1:8" x14ac:dyDescent="0.35">
      <c r="A45" s="2" t="s">
        <v>67</v>
      </c>
      <c r="B45" s="2">
        <v>3790</v>
      </c>
      <c r="C45" s="2">
        <v>-40.844999999999999</v>
      </c>
      <c r="D45" s="2">
        <v>172.86699999999999</v>
      </c>
      <c r="E45" s="2">
        <v>1986</v>
      </c>
      <c r="F45" s="2">
        <v>2022</v>
      </c>
      <c r="G45" s="2">
        <f t="shared" si="1"/>
        <v>36</v>
      </c>
      <c r="H45" s="2" t="s">
        <v>28</v>
      </c>
    </row>
    <row r="46" spans="1:8" x14ac:dyDescent="0.35">
      <c r="A46" s="2" t="s">
        <v>60</v>
      </c>
      <c r="B46" s="2">
        <v>3791</v>
      </c>
      <c r="C46" s="2">
        <v>-40.825000000000003</v>
      </c>
      <c r="D46" s="2">
        <v>172.898</v>
      </c>
      <c r="E46" s="2">
        <v>1932</v>
      </c>
      <c r="F46" s="2">
        <v>1988</v>
      </c>
      <c r="G46" s="2">
        <f t="shared" si="1"/>
        <v>56</v>
      </c>
      <c r="H46" s="2" t="s">
        <v>28</v>
      </c>
    </row>
    <row r="47" spans="1:8" x14ac:dyDescent="0.35">
      <c r="A47" s="2" t="s">
        <v>59</v>
      </c>
      <c r="B47" s="2">
        <v>3777</v>
      </c>
      <c r="C47" s="2">
        <v>-40.762</v>
      </c>
      <c r="D47" s="2">
        <v>172.54499999999999</v>
      </c>
      <c r="E47" s="2">
        <v>1916</v>
      </c>
      <c r="F47" s="2">
        <v>2015</v>
      </c>
      <c r="G47" s="2">
        <f t="shared" si="1"/>
        <v>99</v>
      </c>
      <c r="H47" s="2" t="s">
        <v>28</v>
      </c>
    </row>
    <row r="48" spans="1:8" x14ac:dyDescent="0.35">
      <c r="A48" s="2" t="s">
        <v>61</v>
      </c>
      <c r="B48" s="2">
        <v>3771</v>
      </c>
      <c r="C48" s="2">
        <v>-40.676000000000002</v>
      </c>
      <c r="D48" s="2">
        <v>172.393</v>
      </c>
      <c r="E48" s="2">
        <v>1945</v>
      </c>
      <c r="F48" s="2">
        <v>1992</v>
      </c>
      <c r="G48" s="2">
        <f t="shared" si="1"/>
        <v>47</v>
      </c>
      <c r="H48" s="2" t="s">
        <v>28</v>
      </c>
    </row>
    <row r="49" spans="1:8" x14ac:dyDescent="0.35">
      <c r="A49" s="2" t="s">
        <v>66</v>
      </c>
      <c r="B49" s="2">
        <v>3775</v>
      </c>
      <c r="C49" s="2">
        <v>-40.603000000000002</v>
      </c>
      <c r="D49" s="2">
        <v>172.685</v>
      </c>
      <c r="E49" s="2">
        <v>1984</v>
      </c>
      <c r="F49" s="2">
        <v>2025</v>
      </c>
      <c r="G49" s="2">
        <f t="shared" si="1"/>
        <v>41</v>
      </c>
      <c r="H49" s="2" t="s">
        <v>28</v>
      </c>
    </row>
    <row r="50" spans="1:8" x14ac:dyDescent="0.35">
      <c r="A50" s="2" t="s">
        <v>68</v>
      </c>
      <c r="B50" s="2">
        <v>24139</v>
      </c>
      <c r="C50" s="2">
        <v>-40.573</v>
      </c>
      <c r="D50" s="2">
        <v>172.571</v>
      </c>
      <c r="E50" s="2">
        <v>1983</v>
      </c>
      <c r="F50" s="2">
        <v>2025</v>
      </c>
      <c r="G50" s="2">
        <f t="shared" si="1"/>
        <v>42</v>
      </c>
      <c r="H50" s="2" t="s">
        <v>28</v>
      </c>
    </row>
    <row r="51" spans="1:8" x14ac:dyDescent="0.35">
      <c r="A51" s="2" t="s">
        <v>65</v>
      </c>
      <c r="B51" s="2">
        <v>3797</v>
      </c>
      <c r="C51" s="2">
        <v>-40.548999999999999</v>
      </c>
      <c r="D51" s="2">
        <v>173.00800000000001</v>
      </c>
      <c r="E51" s="2">
        <v>1882</v>
      </c>
      <c r="F51" s="2">
        <v>1984</v>
      </c>
      <c r="G51" s="2">
        <f t="shared" si="1"/>
        <v>102</v>
      </c>
      <c r="H51" s="2" t="s">
        <v>28</v>
      </c>
    </row>
    <row r="52" spans="1:8" x14ac:dyDescent="0.35">
      <c r="A52" s="2" t="s">
        <v>69</v>
      </c>
      <c r="B52" s="2">
        <v>3798</v>
      </c>
      <c r="C52" s="2">
        <v>-40.544829999999997</v>
      </c>
      <c r="D52" s="2">
        <v>173.00097</v>
      </c>
      <c r="E52" s="2">
        <v>1982</v>
      </c>
      <c r="F52" s="2">
        <v>2025</v>
      </c>
      <c r="G52" s="2">
        <f t="shared" si="1"/>
        <v>43</v>
      </c>
      <c r="H52" s="2" t="s">
        <v>28</v>
      </c>
    </row>
    <row r="53" spans="1:8" x14ac:dyDescent="0.35">
      <c r="A53" s="2" t="s">
        <v>183</v>
      </c>
      <c r="B53" s="2">
        <v>2203</v>
      </c>
      <c r="C53" s="2">
        <v>-38.262450000000001</v>
      </c>
      <c r="D53" s="2">
        <v>175.10140999999999</v>
      </c>
      <c r="E53" s="2">
        <v>1970</v>
      </c>
      <c r="F53" s="2">
        <v>2010</v>
      </c>
      <c r="G53" s="2">
        <v>40</v>
      </c>
      <c r="H53" s="2" t="s">
        <v>149</v>
      </c>
    </row>
    <row r="54" spans="1:8" x14ac:dyDescent="0.35">
      <c r="A54" s="2" t="s">
        <v>181</v>
      </c>
      <c r="B54" s="2">
        <v>2201</v>
      </c>
      <c r="C54" s="2">
        <v>-38.25</v>
      </c>
      <c r="D54" s="2">
        <v>175.1</v>
      </c>
      <c r="E54" s="2">
        <v>1908</v>
      </c>
      <c r="F54" s="2">
        <v>1939</v>
      </c>
      <c r="G54" s="2">
        <v>31</v>
      </c>
      <c r="H54" s="2" t="s">
        <v>149</v>
      </c>
    </row>
    <row r="55" spans="1:8" x14ac:dyDescent="0.35">
      <c r="A55" s="2" t="s">
        <v>175</v>
      </c>
      <c r="B55" s="2">
        <v>2204</v>
      </c>
      <c r="C55" s="2">
        <v>-38.218000000000004</v>
      </c>
      <c r="D55" s="2">
        <v>175.23400000000001</v>
      </c>
      <c r="E55" s="2">
        <v>1967</v>
      </c>
      <c r="F55" s="2">
        <v>1999</v>
      </c>
      <c r="G55" s="2">
        <v>32</v>
      </c>
      <c r="H55" s="2" t="s">
        <v>149</v>
      </c>
    </row>
    <row r="56" spans="1:8" x14ac:dyDescent="0.35">
      <c r="A56" s="2" t="s">
        <v>166</v>
      </c>
      <c r="B56" s="2">
        <v>2192</v>
      </c>
      <c r="C56" s="2">
        <v>-38.183</v>
      </c>
      <c r="D56" s="2">
        <v>175.21700000000001</v>
      </c>
      <c r="E56" s="2">
        <v>1923</v>
      </c>
      <c r="F56" s="2">
        <v>1951</v>
      </c>
      <c r="G56" s="2">
        <v>28</v>
      </c>
      <c r="H56" s="2" t="s">
        <v>149</v>
      </c>
    </row>
    <row r="57" spans="1:8" x14ac:dyDescent="0.35">
      <c r="A57" s="2" t="s">
        <v>164</v>
      </c>
      <c r="B57" s="2">
        <v>2195</v>
      </c>
      <c r="C57" s="2">
        <v>-38.158999999999999</v>
      </c>
      <c r="D57" s="2">
        <v>175.19399999999999</v>
      </c>
      <c r="E57" s="2">
        <v>1957</v>
      </c>
      <c r="F57" s="2">
        <v>2025</v>
      </c>
      <c r="G57" s="2">
        <v>68</v>
      </c>
      <c r="H57" s="2" t="s">
        <v>149</v>
      </c>
    </row>
    <row r="58" spans="1:8" x14ac:dyDescent="0.35">
      <c r="A58" s="2" t="s">
        <v>159</v>
      </c>
      <c r="B58" s="2">
        <v>2183</v>
      </c>
      <c r="C58" s="2">
        <v>-38.076000000000001</v>
      </c>
      <c r="D58" s="2">
        <v>175.08600000000001</v>
      </c>
      <c r="E58" s="2">
        <v>1938</v>
      </c>
      <c r="F58" s="2">
        <v>1999</v>
      </c>
      <c r="G58" s="2">
        <v>61</v>
      </c>
      <c r="H58" s="2" t="s">
        <v>149</v>
      </c>
    </row>
    <row r="59" spans="1:8" x14ac:dyDescent="0.35">
      <c r="A59" s="2" t="s">
        <v>170</v>
      </c>
      <c r="B59" s="2">
        <v>2190</v>
      </c>
      <c r="C59" s="2">
        <v>-38.073</v>
      </c>
      <c r="D59" s="2">
        <v>175.642</v>
      </c>
      <c r="E59" s="2">
        <v>1923</v>
      </c>
      <c r="F59" s="2">
        <v>1994</v>
      </c>
      <c r="G59" s="2">
        <v>71</v>
      </c>
      <c r="H59" s="2" t="s">
        <v>149</v>
      </c>
    </row>
    <row r="60" spans="1:8" x14ac:dyDescent="0.35">
      <c r="A60" s="2" t="s">
        <v>182</v>
      </c>
      <c r="B60" s="2">
        <v>1711</v>
      </c>
      <c r="C60" s="2">
        <v>-38.049999999999997</v>
      </c>
      <c r="D60" s="2">
        <v>175.78299999999999</v>
      </c>
      <c r="E60" s="2">
        <v>1941</v>
      </c>
      <c r="F60" s="2">
        <v>1972</v>
      </c>
      <c r="G60" s="2">
        <v>31</v>
      </c>
      <c r="H60" s="2" t="s">
        <v>149</v>
      </c>
    </row>
    <row r="61" spans="1:8" x14ac:dyDescent="0.35">
      <c r="A61" s="2" t="s">
        <v>157</v>
      </c>
      <c r="B61" s="2">
        <v>2185</v>
      </c>
      <c r="C61" s="2">
        <v>-38.017000000000003</v>
      </c>
      <c r="D61" s="2">
        <v>175.31700000000001</v>
      </c>
      <c r="E61" s="2">
        <v>1931</v>
      </c>
      <c r="F61" s="2">
        <v>1960</v>
      </c>
      <c r="G61" s="2">
        <v>29</v>
      </c>
      <c r="H61" s="2" t="s">
        <v>149</v>
      </c>
    </row>
    <row r="62" spans="1:8" x14ac:dyDescent="0.35">
      <c r="A62" s="2" t="s">
        <v>156</v>
      </c>
      <c r="B62" s="2">
        <v>2125</v>
      </c>
      <c r="C62" s="2">
        <v>-37.9</v>
      </c>
      <c r="D62" s="2">
        <v>175.46600000000001</v>
      </c>
      <c r="E62" s="2">
        <v>1966</v>
      </c>
      <c r="F62" s="2">
        <v>2022</v>
      </c>
      <c r="G62" s="2">
        <v>56</v>
      </c>
      <c r="H62" s="2" t="s">
        <v>149</v>
      </c>
    </row>
    <row r="63" spans="1:8" x14ac:dyDescent="0.35">
      <c r="A63" s="2" t="s">
        <v>154</v>
      </c>
      <c r="B63" s="2">
        <v>2107</v>
      </c>
      <c r="C63" s="2">
        <v>-37.889490000000002</v>
      </c>
      <c r="D63" s="2">
        <v>175.23220000000001</v>
      </c>
      <c r="E63" s="2">
        <v>1935</v>
      </c>
      <c r="F63" s="2">
        <v>2020</v>
      </c>
      <c r="G63" s="2">
        <v>85</v>
      </c>
      <c r="H63" s="2" t="s">
        <v>149</v>
      </c>
    </row>
    <row r="64" spans="1:8" x14ac:dyDescent="0.35">
      <c r="A64" s="2" t="s">
        <v>169</v>
      </c>
      <c r="B64" s="2">
        <v>17030</v>
      </c>
      <c r="C64" s="2">
        <v>-37.876829999999998</v>
      </c>
      <c r="D64" s="2">
        <v>175.73496</v>
      </c>
      <c r="E64" s="2">
        <v>1998</v>
      </c>
      <c r="F64" s="2">
        <v>2025</v>
      </c>
      <c r="G64" s="2">
        <v>27</v>
      </c>
      <c r="H64" s="2" t="s">
        <v>149</v>
      </c>
    </row>
    <row r="65" spans="1:8" x14ac:dyDescent="0.35">
      <c r="A65" s="2" t="s">
        <v>150</v>
      </c>
      <c r="B65" s="2">
        <v>2110</v>
      </c>
      <c r="C65" s="2">
        <v>-37.866720000000001</v>
      </c>
      <c r="D65" s="2">
        <v>175.32873000000001</v>
      </c>
      <c r="E65" s="2">
        <v>1935</v>
      </c>
      <c r="F65" s="2">
        <v>1988</v>
      </c>
      <c r="G65" s="2">
        <v>53</v>
      </c>
      <c r="H65" s="2" t="s">
        <v>149</v>
      </c>
    </row>
    <row r="66" spans="1:8" x14ac:dyDescent="0.35">
      <c r="A66" s="2" t="s">
        <v>151</v>
      </c>
      <c r="B66" s="2">
        <v>2112</v>
      </c>
      <c r="C66" s="2">
        <v>-37.860880000000002</v>
      </c>
      <c r="D66" s="2">
        <v>175.33175</v>
      </c>
      <c r="E66" s="2">
        <v>1990</v>
      </c>
      <c r="F66" s="2">
        <v>2025</v>
      </c>
      <c r="G66" s="2">
        <v>35</v>
      </c>
      <c r="H66" s="2" t="s">
        <v>149</v>
      </c>
    </row>
    <row r="67" spans="1:8" x14ac:dyDescent="0.35">
      <c r="A67" s="2" t="s">
        <v>173</v>
      </c>
      <c r="B67" s="2">
        <v>1593</v>
      </c>
      <c r="C67" s="2">
        <v>-37.857999999999997</v>
      </c>
      <c r="D67" s="2">
        <v>175.75800000000001</v>
      </c>
      <c r="E67" s="2">
        <v>1920</v>
      </c>
      <c r="F67" s="2">
        <v>1964</v>
      </c>
      <c r="G67" s="2">
        <v>44</v>
      </c>
      <c r="H67" s="2" t="s">
        <v>149</v>
      </c>
    </row>
    <row r="68" spans="1:8" x14ac:dyDescent="0.35">
      <c r="A68" s="2" t="s">
        <v>152</v>
      </c>
      <c r="B68" s="2">
        <v>2109</v>
      </c>
      <c r="C68" s="2">
        <v>-37.83</v>
      </c>
      <c r="D68" s="2">
        <v>175.3</v>
      </c>
      <c r="E68" s="2">
        <v>1946</v>
      </c>
      <c r="F68" s="2">
        <v>1984</v>
      </c>
      <c r="G68" s="2">
        <v>38</v>
      </c>
      <c r="H68" s="2" t="s">
        <v>149</v>
      </c>
    </row>
    <row r="69" spans="1:8" x14ac:dyDescent="0.35">
      <c r="A69" s="2" t="s">
        <v>177</v>
      </c>
      <c r="B69" s="2">
        <v>1594</v>
      </c>
      <c r="C69" s="2">
        <v>-37.817</v>
      </c>
      <c r="D69" s="2">
        <v>175.76300000000001</v>
      </c>
      <c r="E69" s="2">
        <v>1966</v>
      </c>
      <c r="F69" s="2">
        <v>1991</v>
      </c>
      <c r="G69" s="2">
        <v>25</v>
      </c>
      <c r="H69" s="2" t="s">
        <v>149</v>
      </c>
    </row>
    <row r="70" spans="1:8" x14ac:dyDescent="0.35">
      <c r="A70" s="2" t="s">
        <v>178</v>
      </c>
      <c r="B70" s="2">
        <v>1592</v>
      </c>
      <c r="C70" s="2">
        <v>-37.813000000000002</v>
      </c>
      <c r="D70" s="2">
        <v>175.77199999999999</v>
      </c>
      <c r="E70" s="2">
        <v>1947</v>
      </c>
      <c r="F70" s="2">
        <v>1973</v>
      </c>
      <c r="G70" s="2">
        <v>26</v>
      </c>
      <c r="H70" s="2" t="s">
        <v>149</v>
      </c>
    </row>
    <row r="71" spans="1:8" x14ac:dyDescent="0.35">
      <c r="A71" s="2" t="s">
        <v>162</v>
      </c>
      <c r="B71" s="2">
        <v>1591</v>
      </c>
      <c r="C71" s="2">
        <v>-37.805999999999997</v>
      </c>
      <c r="D71" s="2">
        <v>175.66499999999999</v>
      </c>
      <c r="E71" s="2">
        <v>1951</v>
      </c>
      <c r="F71" s="2">
        <v>2001</v>
      </c>
      <c r="G71" s="2">
        <v>50</v>
      </c>
      <c r="H71" s="2" t="s">
        <v>149</v>
      </c>
    </row>
    <row r="72" spans="1:8" x14ac:dyDescent="0.35">
      <c r="A72" s="2" t="s">
        <v>168</v>
      </c>
      <c r="B72" s="2">
        <v>2023</v>
      </c>
      <c r="C72" s="2">
        <v>-37.804000000000002</v>
      </c>
      <c r="D72" s="2">
        <v>174.87899999999999</v>
      </c>
      <c r="E72" s="2">
        <v>1945</v>
      </c>
      <c r="F72" s="2">
        <v>1979</v>
      </c>
      <c r="G72" s="2">
        <v>34</v>
      </c>
      <c r="H72" s="2" t="s">
        <v>149</v>
      </c>
    </row>
    <row r="73" spans="1:8" x14ac:dyDescent="0.35">
      <c r="A73" s="2" t="s">
        <v>171</v>
      </c>
      <c r="B73" s="2">
        <v>2027</v>
      </c>
      <c r="C73" s="2">
        <v>-37.802109999999999</v>
      </c>
      <c r="D73" s="2">
        <v>174.86788000000001</v>
      </c>
      <c r="E73" s="2">
        <v>1983</v>
      </c>
      <c r="F73" s="2">
        <v>2015</v>
      </c>
      <c r="G73" s="2">
        <v>32</v>
      </c>
      <c r="H73" s="2" t="s">
        <v>149</v>
      </c>
    </row>
    <row r="74" spans="1:8" x14ac:dyDescent="0.35">
      <c r="A74" s="2" t="s">
        <v>153</v>
      </c>
      <c r="B74" s="2">
        <v>2105</v>
      </c>
      <c r="C74" s="2">
        <v>-37.799999999999997</v>
      </c>
      <c r="D74" s="2">
        <v>175.28299999999999</v>
      </c>
      <c r="E74" s="2">
        <v>1899</v>
      </c>
      <c r="F74" s="2">
        <v>1954</v>
      </c>
      <c r="G74" s="2">
        <v>55</v>
      </c>
      <c r="H74" s="2" t="s">
        <v>149</v>
      </c>
    </row>
    <row r="75" spans="1:8" x14ac:dyDescent="0.35">
      <c r="A75" s="2" t="s">
        <v>184</v>
      </c>
      <c r="B75" s="2">
        <v>1586</v>
      </c>
      <c r="C75" s="2">
        <v>-37.784910000000004</v>
      </c>
      <c r="D75" s="2">
        <v>175.85074</v>
      </c>
      <c r="E75" s="2">
        <v>1966</v>
      </c>
      <c r="F75" s="2">
        <v>2010</v>
      </c>
      <c r="G75" s="2">
        <v>44</v>
      </c>
      <c r="H75" s="2" t="s">
        <v>149</v>
      </c>
    </row>
    <row r="76" spans="1:8" x14ac:dyDescent="0.35">
      <c r="A76" s="2" t="s">
        <v>155</v>
      </c>
      <c r="B76" s="2">
        <v>2101</v>
      </c>
      <c r="C76" s="2">
        <v>-37.78</v>
      </c>
      <c r="D76" s="2">
        <v>175.31299999999999</v>
      </c>
      <c r="E76" s="2">
        <v>1907</v>
      </c>
      <c r="F76" s="2">
        <v>2005</v>
      </c>
      <c r="G76" s="2">
        <v>98</v>
      </c>
      <c r="H76" s="2" t="s">
        <v>149</v>
      </c>
    </row>
    <row r="77" spans="1:8" x14ac:dyDescent="0.35">
      <c r="A77" s="2" t="s">
        <v>174</v>
      </c>
      <c r="B77" s="2">
        <v>1578</v>
      </c>
      <c r="C77" s="2">
        <v>-37.686999999999998</v>
      </c>
      <c r="D77" s="2">
        <v>175.703</v>
      </c>
      <c r="E77" s="2">
        <v>1953</v>
      </c>
      <c r="F77" s="2">
        <v>1978</v>
      </c>
      <c r="G77" s="2">
        <v>25</v>
      </c>
      <c r="H77" s="2" t="s">
        <v>149</v>
      </c>
    </row>
    <row r="78" spans="1:8" x14ac:dyDescent="0.35">
      <c r="A78" s="2" t="s">
        <v>167</v>
      </c>
      <c r="B78" s="2">
        <v>1575</v>
      </c>
      <c r="C78" s="2">
        <v>-37.671999999999997</v>
      </c>
      <c r="D78" s="2">
        <v>175.64699999999999</v>
      </c>
      <c r="E78" s="2">
        <v>1959</v>
      </c>
      <c r="F78" s="2">
        <v>1994</v>
      </c>
      <c r="G78" s="2">
        <v>35</v>
      </c>
      <c r="H78" s="2" t="s">
        <v>149</v>
      </c>
    </row>
    <row r="79" spans="1:8" x14ac:dyDescent="0.35">
      <c r="A79" s="2" t="s">
        <v>158</v>
      </c>
      <c r="B79" s="2">
        <v>1573</v>
      </c>
      <c r="C79" s="2">
        <v>-37.65804</v>
      </c>
      <c r="D79" s="2">
        <v>175.52996999999999</v>
      </c>
      <c r="E79" s="2">
        <v>1965</v>
      </c>
      <c r="F79" s="2">
        <v>2016</v>
      </c>
      <c r="G79" s="2">
        <v>51</v>
      </c>
      <c r="H79" s="2" t="s">
        <v>149</v>
      </c>
    </row>
    <row r="80" spans="1:8" x14ac:dyDescent="0.35">
      <c r="A80" s="2" t="s">
        <v>161</v>
      </c>
      <c r="B80" s="2">
        <v>1571</v>
      </c>
      <c r="C80" s="2">
        <v>-37.652999999999999</v>
      </c>
      <c r="D80" s="2">
        <v>175.53899999999999</v>
      </c>
      <c r="E80" s="2">
        <v>1915</v>
      </c>
      <c r="F80" s="2">
        <v>1972</v>
      </c>
      <c r="G80" s="2">
        <v>57</v>
      </c>
      <c r="H80" s="2" t="s">
        <v>149</v>
      </c>
    </row>
    <row r="81" spans="1:8" x14ac:dyDescent="0.35">
      <c r="A81" s="2" t="s">
        <v>160</v>
      </c>
      <c r="B81" s="2">
        <v>1574</v>
      </c>
      <c r="C81" s="2">
        <v>-37.650689999999997</v>
      </c>
      <c r="D81" s="2">
        <v>175.52816999999999</v>
      </c>
      <c r="E81" s="2">
        <v>1978</v>
      </c>
      <c r="F81" s="2">
        <v>2024</v>
      </c>
      <c r="G81" s="2">
        <v>46</v>
      </c>
      <c r="H81" s="2" t="s">
        <v>149</v>
      </c>
    </row>
    <row r="82" spans="1:8" x14ac:dyDescent="0.35">
      <c r="A82" s="2" t="s">
        <v>172</v>
      </c>
      <c r="B82" s="2">
        <v>1576</v>
      </c>
      <c r="C82" s="2">
        <v>-37.594000000000001</v>
      </c>
      <c r="D82" s="2">
        <v>175.6</v>
      </c>
      <c r="E82" s="2">
        <v>1951</v>
      </c>
      <c r="F82" s="2">
        <v>1987</v>
      </c>
      <c r="G82" s="2">
        <v>36</v>
      </c>
      <c r="H82" s="2" t="s">
        <v>149</v>
      </c>
    </row>
    <row r="83" spans="1:8" x14ac:dyDescent="0.35">
      <c r="A83" s="2" t="s">
        <v>176</v>
      </c>
      <c r="B83" s="2">
        <v>1563</v>
      </c>
      <c r="C83" s="2">
        <v>-37.58229</v>
      </c>
      <c r="D83" s="2">
        <v>175.60111000000001</v>
      </c>
      <c r="E83" s="2">
        <v>1987</v>
      </c>
      <c r="F83" s="2">
        <v>2020</v>
      </c>
      <c r="G83" s="2">
        <v>33</v>
      </c>
      <c r="H83" s="2" t="s">
        <v>149</v>
      </c>
    </row>
    <row r="84" spans="1:8" x14ac:dyDescent="0.35">
      <c r="A84" s="2" t="s">
        <v>165</v>
      </c>
      <c r="B84" s="2">
        <v>2086</v>
      </c>
      <c r="C84" s="2">
        <v>-37.569000000000003</v>
      </c>
      <c r="D84" s="2">
        <v>175.15899999999999</v>
      </c>
      <c r="E84" s="2">
        <v>1943</v>
      </c>
      <c r="F84" s="2">
        <v>1984</v>
      </c>
      <c r="G84" s="2">
        <v>41</v>
      </c>
      <c r="H84" s="2" t="s">
        <v>149</v>
      </c>
    </row>
    <row r="85" spans="1:8" x14ac:dyDescent="0.35">
      <c r="A85" s="2" t="s">
        <v>163</v>
      </c>
      <c r="B85" s="2">
        <v>2090</v>
      </c>
      <c r="C85" s="2">
        <v>-37.552999999999997</v>
      </c>
      <c r="D85" s="2">
        <v>175.34800000000001</v>
      </c>
      <c r="E85" s="2">
        <v>1973</v>
      </c>
      <c r="F85" s="2">
        <v>2007</v>
      </c>
      <c r="G85" s="2">
        <v>34</v>
      </c>
      <c r="H85" s="2" t="s">
        <v>149</v>
      </c>
    </row>
    <row r="86" spans="1:8" x14ac:dyDescent="0.35">
      <c r="A86" s="2" t="s">
        <v>179</v>
      </c>
      <c r="B86" s="2">
        <v>1562</v>
      </c>
      <c r="C86" s="2">
        <v>-37.529000000000003</v>
      </c>
      <c r="D86" s="2">
        <v>175.53299999999999</v>
      </c>
      <c r="E86" s="2">
        <v>1920</v>
      </c>
      <c r="F86" s="2">
        <v>1977</v>
      </c>
      <c r="G86" s="2">
        <v>57</v>
      </c>
      <c r="H86" s="2" t="s">
        <v>149</v>
      </c>
    </row>
    <row r="87" spans="1:8" x14ac:dyDescent="0.35">
      <c r="A87" s="2" t="s">
        <v>185</v>
      </c>
      <c r="B87" s="2">
        <v>7556</v>
      </c>
      <c r="C87" s="2">
        <v>-37.524760000000001</v>
      </c>
      <c r="D87" s="2">
        <v>175.66873000000001</v>
      </c>
      <c r="E87" s="2">
        <v>1992</v>
      </c>
      <c r="F87" s="2">
        <v>2025</v>
      </c>
      <c r="G87" s="2">
        <v>33</v>
      </c>
      <c r="H87" s="2" t="s">
        <v>149</v>
      </c>
    </row>
    <row r="88" spans="1:8" x14ac:dyDescent="0.35">
      <c r="A88" s="2" t="s">
        <v>187</v>
      </c>
      <c r="B88" s="2">
        <v>1564</v>
      </c>
      <c r="C88" s="2">
        <v>-37.510330000000003</v>
      </c>
      <c r="D88" s="2">
        <v>175.65432999999999</v>
      </c>
      <c r="E88" s="2">
        <v>1917</v>
      </c>
      <c r="F88" s="2">
        <v>2025</v>
      </c>
      <c r="G88" s="2">
        <v>108</v>
      </c>
      <c r="H88" s="2" t="s">
        <v>149</v>
      </c>
    </row>
    <row r="89" spans="1:8" x14ac:dyDescent="0.35">
      <c r="A89" s="2" t="s">
        <v>180</v>
      </c>
      <c r="B89" s="2">
        <v>1552</v>
      </c>
      <c r="C89" s="2">
        <v>-37.472000000000001</v>
      </c>
      <c r="D89" s="2">
        <v>175.40299999999999</v>
      </c>
      <c r="E89" s="2">
        <v>1956</v>
      </c>
      <c r="F89" s="2">
        <v>1982</v>
      </c>
      <c r="G89" s="2">
        <v>26</v>
      </c>
      <c r="H89" s="2" t="s">
        <v>149</v>
      </c>
    </row>
    <row r="90" spans="1:8" x14ac:dyDescent="0.35">
      <c r="A90" s="2" t="s">
        <v>27</v>
      </c>
      <c r="B90" s="2">
        <v>18638</v>
      </c>
      <c r="C90" s="2">
        <v>-37.453000000000003</v>
      </c>
      <c r="D90" s="2">
        <v>175.91900000000001</v>
      </c>
      <c r="E90" s="2">
        <v>2000</v>
      </c>
      <c r="F90" s="2">
        <v>2025</v>
      </c>
      <c r="G90" s="2">
        <f>F90-E90</f>
        <v>25</v>
      </c>
      <c r="H90" s="2" t="s">
        <v>8</v>
      </c>
    </row>
    <row r="91" spans="1:8" x14ac:dyDescent="0.35">
      <c r="A91" s="2" t="s">
        <v>26</v>
      </c>
      <c r="B91" s="2">
        <v>1556</v>
      </c>
      <c r="C91" s="2">
        <v>-37.419310000000003</v>
      </c>
      <c r="D91" s="2">
        <v>175.71403000000001</v>
      </c>
      <c r="E91" s="2">
        <v>1981</v>
      </c>
      <c r="F91" s="2">
        <v>2025</v>
      </c>
      <c r="G91" s="2">
        <f>F91-E91</f>
        <v>44</v>
      </c>
      <c r="H91" s="2" t="s">
        <v>8</v>
      </c>
    </row>
    <row r="92" spans="1:8" x14ac:dyDescent="0.35">
      <c r="A92" s="2" t="s">
        <v>186</v>
      </c>
      <c r="B92" s="2">
        <v>2084</v>
      </c>
      <c r="C92" s="2">
        <v>-37.417999999999999</v>
      </c>
      <c r="D92" s="2">
        <v>175.364</v>
      </c>
      <c r="E92" s="2">
        <v>1974</v>
      </c>
      <c r="F92" s="2">
        <v>2000</v>
      </c>
      <c r="G92" s="2">
        <v>26</v>
      </c>
      <c r="H92" s="2" t="s">
        <v>149</v>
      </c>
    </row>
    <row r="93" spans="1:8" x14ac:dyDescent="0.35">
      <c r="A93" s="2" t="s">
        <v>25</v>
      </c>
      <c r="B93" s="2">
        <v>1550</v>
      </c>
      <c r="C93" s="2">
        <v>-37.393999999999998</v>
      </c>
      <c r="D93" s="2">
        <v>175.84100000000001</v>
      </c>
      <c r="E93" s="2">
        <v>1898</v>
      </c>
      <c r="F93" s="2">
        <v>1990</v>
      </c>
      <c r="G93" s="2">
        <f t="shared" ref="G93:G110" si="2">F93-E93</f>
        <v>92</v>
      </c>
      <c r="H93" s="2" t="s">
        <v>8</v>
      </c>
    </row>
    <row r="94" spans="1:8" x14ac:dyDescent="0.35">
      <c r="A94" s="2" t="s">
        <v>24</v>
      </c>
      <c r="B94" s="2">
        <v>1544</v>
      </c>
      <c r="C94" s="2">
        <v>-37.220999999999997</v>
      </c>
      <c r="D94" s="2">
        <v>175.87</v>
      </c>
      <c r="E94" s="2">
        <v>1970</v>
      </c>
      <c r="F94" s="2">
        <v>1998</v>
      </c>
      <c r="G94" s="2">
        <f t="shared" si="2"/>
        <v>28</v>
      </c>
      <c r="H94" s="2" t="s">
        <v>8</v>
      </c>
    </row>
    <row r="95" spans="1:8" x14ac:dyDescent="0.35">
      <c r="A95" s="2" t="s">
        <v>18</v>
      </c>
      <c r="B95" s="2">
        <v>1534</v>
      </c>
      <c r="C95" s="2">
        <v>-37.171999999999997</v>
      </c>
      <c r="D95" s="2">
        <v>175.85300000000001</v>
      </c>
      <c r="E95" s="2">
        <v>1953</v>
      </c>
      <c r="F95" s="2">
        <v>1994</v>
      </c>
      <c r="G95" s="2">
        <f t="shared" si="2"/>
        <v>41</v>
      </c>
      <c r="H95" s="2" t="s">
        <v>8</v>
      </c>
    </row>
    <row r="96" spans="1:8" x14ac:dyDescent="0.35">
      <c r="A96" s="2" t="s">
        <v>10</v>
      </c>
      <c r="B96" s="2">
        <v>1529</v>
      </c>
      <c r="C96" s="2">
        <v>-37.158580000000001</v>
      </c>
      <c r="D96" s="2">
        <v>175.55136999999999</v>
      </c>
      <c r="E96" s="2">
        <v>1957</v>
      </c>
      <c r="F96" s="2">
        <v>2022</v>
      </c>
      <c r="G96" s="2">
        <f t="shared" si="2"/>
        <v>65</v>
      </c>
      <c r="H96" s="2" t="s">
        <v>8</v>
      </c>
    </row>
    <row r="97" spans="1:8" x14ac:dyDescent="0.35">
      <c r="A97" s="2" t="s">
        <v>15</v>
      </c>
      <c r="B97" s="2">
        <v>1531</v>
      </c>
      <c r="C97" s="2">
        <v>-37.125</v>
      </c>
      <c r="D97" s="2">
        <v>175.62700000000001</v>
      </c>
      <c r="E97" s="2">
        <v>1952</v>
      </c>
      <c r="F97" s="2">
        <v>1990</v>
      </c>
      <c r="G97" s="2">
        <f t="shared" si="2"/>
        <v>38</v>
      </c>
      <c r="H97" s="2" t="s">
        <v>8</v>
      </c>
    </row>
    <row r="98" spans="1:8" x14ac:dyDescent="0.35">
      <c r="A98" s="2" t="s">
        <v>13</v>
      </c>
      <c r="B98" s="2">
        <v>1524</v>
      </c>
      <c r="C98" s="2">
        <v>-37.04862</v>
      </c>
      <c r="D98" s="2">
        <v>175.51848000000001</v>
      </c>
      <c r="E98" s="2">
        <v>1974</v>
      </c>
      <c r="F98" s="2">
        <v>2009</v>
      </c>
      <c r="G98" s="2">
        <f t="shared" si="2"/>
        <v>35</v>
      </c>
      <c r="H98" s="2" t="s">
        <v>8</v>
      </c>
    </row>
    <row r="99" spans="1:8" x14ac:dyDescent="0.35">
      <c r="A99" s="2" t="s">
        <v>11</v>
      </c>
      <c r="B99" s="2">
        <v>1526</v>
      </c>
      <c r="C99" s="2">
        <v>-37.006999999999998</v>
      </c>
      <c r="D99" s="2">
        <v>175.84399999999999</v>
      </c>
      <c r="E99" s="2">
        <v>1913</v>
      </c>
      <c r="F99" s="2">
        <v>1989</v>
      </c>
      <c r="G99" s="2">
        <f t="shared" si="2"/>
        <v>76</v>
      </c>
      <c r="H99" s="2" t="s">
        <v>8</v>
      </c>
    </row>
    <row r="100" spans="1:8" x14ac:dyDescent="0.35">
      <c r="A100" s="2" t="s">
        <v>22</v>
      </c>
      <c r="B100" s="2">
        <v>1523</v>
      </c>
      <c r="C100" s="2">
        <v>-36.928899999999999</v>
      </c>
      <c r="D100" s="2">
        <v>175.69748000000001</v>
      </c>
      <c r="E100" s="2">
        <v>1988</v>
      </c>
      <c r="F100" s="2">
        <v>2025</v>
      </c>
      <c r="G100" s="2">
        <f t="shared" si="2"/>
        <v>37</v>
      </c>
      <c r="H100" s="2" t="s">
        <v>8</v>
      </c>
    </row>
    <row r="101" spans="1:8" x14ac:dyDescent="0.35">
      <c r="A101" s="2" t="s">
        <v>23</v>
      </c>
      <c r="B101" s="2">
        <v>1520</v>
      </c>
      <c r="C101" s="2">
        <v>-36.832369999999997</v>
      </c>
      <c r="D101" s="2">
        <v>175.67542</v>
      </c>
      <c r="E101" s="2">
        <v>1990</v>
      </c>
      <c r="F101" s="2">
        <v>2025</v>
      </c>
      <c r="G101" s="2">
        <f t="shared" si="2"/>
        <v>35</v>
      </c>
      <c r="H101" s="2" t="s">
        <v>8</v>
      </c>
    </row>
    <row r="102" spans="1:8" x14ac:dyDescent="0.35">
      <c r="A102" s="2" t="s">
        <v>9</v>
      </c>
      <c r="B102" s="2">
        <v>1518</v>
      </c>
      <c r="C102" s="2">
        <v>-36.818040000000003</v>
      </c>
      <c r="D102" s="2">
        <v>175.53654</v>
      </c>
      <c r="E102" s="2">
        <v>1950</v>
      </c>
      <c r="F102" s="2">
        <v>2025</v>
      </c>
      <c r="G102" s="2">
        <f t="shared" si="2"/>
        <v>75</v>
      </c>
      <c r="H102" s="2" t="s">
        <v>8</v>
      </c>
    </row>
    <row r="103" spans="1:8" x14ac:dyDescent="0.35">
      <c r="A103" s="2" t="s">
        <v>14</v>
      </c>
      <c r="B103" s="2">
        <v>1512</v>
      </c>
      <c r="C103" s="2">
        <v>-36.76</v>
      </c>
      <c r="D103" s="2">
        <v>175.49700000000001</v>
      </c>
      <c r="E103" s="2">
        <v>1945</v>
      </c>
      <c r="F103" s="2">
        <v>1987</v>
      </c>
      <c r="G103" s="2">
        <f t="shared" si="2"/>
        <v>42</v>
      </c>
      <c r="H103" s="2" t="s">
        <v>8</v>
      </c>
    </row>
    <row r="104" spans="1:8" x14ac:dyDescent="0.35">
      <c r="A104" s="2" t="s">
        <v>16</v>
      </c>
      <c r="B104" s="2">
        <v>17465</v>
      </c>
      <c r="C104" s="2">
        <v>-36.758000000000003</v>
      </c>
      <c r="D104" s="2">
        <v>175.596</v>
      </c>
      <c r="E104" s="2">
        <v>1991</v>
      </c>
      <c r="F104" s="2">
        <v>2025</v>
      </c>
      <c r="G104" s="2">
        <f t="shared" si="2"/>
        <v>34</v>
      </c>
      <c r="H104" s="2" t="s">
        <v>8</v>
      </c>
    </row>
    <row r="105" spans="1:8" x14ac:dyDescent="0.35">
      <c r="A105" s="2" t="s">
        <v>8</v>
      </c>
      <c r="B105" s="2">
        <v>1513</v>
      </c>
      <c r="C105" s="2">
        <v>-36.735999999999997</v>
      </c>
      <c r="D105" s="2">
        <v>175.50200000000001</v>
      </c>
      <c r="E105" s="2">
        <v>1978</v>
      </c>
      <c r="F105" s="2">
        <v>2005</v>
      </c>
      <c r="G105" s="2">
        <f t="shared" si="2"/>
        <v>27</v>
      </c>
      <c r="H105" s="2" t="s">
        <v>8</v>
      </c>
    </row>
    <row r="106" spans="1:8" x14ac:dyDescent="0.35">
      <c r="A106" s="2" t="s">
        <v>12</v>
      </c>
      <c r="B106" s="2">
        <v>1516</v>
      </c>
      <c r="C106" s="2">
        <v>-36.731540000000003</v>
      </c>
      <c r="D106" s="2">
        <v>175.68984</v>
      </c>
      <c r="E106" s="2">
        <v>1986</v>
      </c>
      <c r="F106" s="2">
        <v>2025</v>
      </c>
      <c r="G106" s="2">
        <f t="shared" si="2"/>
        <v>39</v>
      </c>
      <c r="H106" s="2" t="s">
        <v>8</v>
      </c>
    </row>
    <row r="107" spans="1:8" x14ac:dyDescent="0.35">
      <c r="A107" s="2" t="s">
        <v>17</v>
      </c>
      <c r="B107" s="2">
        <v>1510</v>
      </c>
      <c r="C107" s="2">
        <v>-36.671010000000003</v>
      </c>
      <c r="D107" s="2">
        <v>175.54978</v>
      </c>
      <c r="E107" s="2">
        <v>1988</v>
      </c>
      <c r="F107" s="2">
        <v>2019</v>
      </c>
      <c r="G107" s="2">
        <f t="shared" si="2"/>
        <v>31</v>
      </c>
      <c r="H107" s="2" t="s">
        <v>8</v>
      </c>
    </row>
    <row r="108" spans="1:8" x14ac:dyDescent="0.35">
      <c r="A108" s="2" t="s">
        <v>19</v>
      </c>
      <c r="B108" s="2">
        <v>1509</v>
      </c>
      <c r="C108" s="2">
        <v>-36.617139999999999</v>
      </c>
      <c r="D108" s="2">
        <v>175.5059</v>
      </c>
      <c r="E108" s="2">
        <v>1976</v>
      </c>
      <c r="F108" s="2">
        <v>2004</v>
      </c>
      <c r="G108" s="2">
        <f t="shared" si="2"/>
        <v>28</v>
      </c>
      <c r="H108" s="2" t="s">
        <v>8</v>
      </c>
    </row>
    <row r="109" spans="1:8" x14ac:dyDescent="0.35">
      <c r="A109" s="2" t="s">
        <v>20</v>
      </c>
      <c r="B109" s="2">
        <v>1506</v>
      </c>
      <c r="C109" s="2">
        <v>-36.530999999999999</v>
      </c>
      <c r="D109" s="2">
        <v>175.458</v>
      </c>
      <c r="E109" s="2">
        <v>1956</v>
      </c>
      <c r="F109" s="2">
        <v>2013</v>
      </c>
      <c r="G109" s="2">
        <f t="shared" si="2"/>
        <v>57</v>
      </c>
      <c r="H109" s="2" t="s">
        <v>8</v>
      </c>
    </row>
    <row r="110" spans="1:8" x14ac:dyDescent="0.35">
      <c r="A110" s="2" t="s">
        <v>21</v>
      </c>
      <c r="B110" s="2">
        <v>1507</v>
      </c>
      <c r="C110" s="2">
        <v>-36.515000000000001</v>
      </c>
      <c r="D110" s="2">
        <v>175.42099999999999</v>
      </c>
      <c r="E110" s="2">
        <v>1967</v>
      </c>
      <c r="F110" s="2">
        <v>2002</v>
      </c>
      <c r="G110" s="2">
        <f t="shared" si="2"/>
        <v>35</v>
      </c>
      <c r="H110" s="2" t="s">
        <v>8</v>
      </c>
    </row>
    <row r="111" spans="1:8" x14ac:dyDescent="0.35">
      <c r="A111" s="2" t="s">
        <v>147</v>
      </c>
      <c r="B111" s="2">
        <v>1330</v>
      </c>
      <c r="C111" s="2">
        <v>-36.162999999999997</v>
      </c>
      <c r="D111" s="2">
        <v>174.374</v>
      </c>
      <c r="E111" s="2">
        <v>1952</v>
      </c>
      <c r="F111" s="2">
        <v>1997</v>
      </c>
      <c r="G111" s="2">
        <v>45</v>
      </c>
      <c r="H111" s="2" t="s">
        <v>81</v>
      </c>
    </row>
    <row r="112" spans="1:8" x14ac:dyDescent="0.35">
      <c r="A112" s="2" t="s">
        <v>124</v>
      </c>
      <c r="B112" s="2">
        <v>1325</v>
      </c>
      <c r="C112" s="2">
        <v>-36.128999999999998</v>
      </c>
      <c r="D112" s="2">
        <v>174.12100000000001</v>
      </c>
      <c r="E112" s="2">
        <v>1968</v>
      </c>
      <c r="F112" s="2">
        <v>2001</v>
      </c>
      <c r="G112" s="2">
        <f>F112-E112</f>
        <v>33</v>
      </c>
      <c r="H112" s="2" t="s">
        <v>81</v>
      </c>
    </row>
    <row r="113" spans="1:8" x14ac:dyDescent="0.35">
      <c r="A113" s="2" t="s">
        <v>148</v>
      </c>
      <c r="B113" s="2">
        <v>1331</v>
      </c>
      <c r="C113" s="2">
        <v>-36.127000000000002</v>
      </c>
      <c r="D113" s="2">
        <v>174.58</v>
      </c>
      <c r="E113" s="2">
        <v>1917</v>
      </c>
      <c r="F113" s="2">
        <v>1990</v>
      </c>
      <c r="G113" s="2">
        <v>73</v>
      </c>
      <c r="H113" s="2" t="s">
        <v>81</v>
      </c>
    </row>
    <row r="114" spans="1:8" x14ac:dyDescent="0.35">
      <c r="A114" s="2" t="s">
        <v>123</v>
      </c>
      <c r="B114" s="2">
        <v>1323</v>
      </c>
      <c r="C114" s="2">
        <v>-36.113</v>
      </c>
      <c r="D114" s="2">
        <v>174.023</v>
      </c>
      <c r="E114" s="2">
        <v>1946</v>
      </c>
      <c r="F114" s="2">
        <v>1985</v>
      </c>
      <c r="G114" s="2">
        <f>F114-E114</f>
        <v>39</v>
      </c>
      <c r="H114" s="2" t="s">
        <v>81</v>
      </c>
    </row>
    <row r="115" spans="1:8" x14ac:dyDescent="0.35">
      <c r="A115" s="2" t="s">
        <v>128</v>
      </c>
      <c r="B115" s="2">
        <v>1326</v>
      </c>
      <c r="C115" s="2">
        <v>-36.1</v>
      </c>
      <c r="D115" s="2">
        <v>174.25</v>
      </c>
      <c r="E115" s="2">
        <v>1938</v>
      </c>
      <c r="F115" s="2">
        <v>1971</v>
      </c>
      <c r="G115" s="2">
        <f>F115-E115</f>
        <v>33</v>
      </c>
      <c r="H115" s="2" t="s">
        <v>81</v>
      </c>
    </row>
    <row r="116" spans="1:8" x14ac:dyDescent="0.35">
      <c r="A116" s="2" t="s">
        <v>146</v>
      </c>
      <c r="B116" s="2">
        <v>1322</v>
      </c>
      <c r="C116" s="2">
        <v>-36.033999999999999</v>
      </c>
      <c r="D116" s="2">
        <v>174.50700000000001</v>
      </c>
      <c r="E116" s="2">
        <v>1948</v>
      </c>
      <c r="F116" s="2">
        <v>2009</v>
      </c>
      <c r="G116" s="2">
        <v>61</v>
      </c>
      <c r="H116" s="2" t="s">
        <v>81</v>
      </c>
    </row>
    <row r="117" spans="1:8" x14ac:dyDescent="0.35">
      <c r="A117" s="2" t="s">
        <v>130</v>
      </c>
      <c r="B117" s="2">
        <v>1321</v>
      </c>
      <c r="C117" s="2">
        <v>-36.003</v>
      </c>
      <c r="D117" s="2">
        <v>174.279</v>
      </c>
      <c r="E117" s="2">
        <v>1948</v>
      </c>
      <c r="F117" s="2">
        <v>1977</v>
      </c>
      <c r="G117" s="2">
        <f>F117-E117</f>
        <v>29</v>
      </c>
      <c r="H117" s="2" t="s">
        <v>81</v>
      </c>
    </row>
    <row r="118" spans="1:8" x14ac:dyDescent="0.35">
      <c r="A118" s="2" t="s">
        <v>119</v>
      </c>
      <c r="B118" s="2">
        <v>1317</v>
      </c>
      <c r="C118" s="2">
        <v>-35.997999999999998</v>
      </c>
      <c r="D118" s="2">
        <v>173.94</v>
      </c>
      <c r="E118" s="2">
        <v>1955</v>
      </c>
      <c r="F118" s="2">
        <v>2010</v>
      </c>
      <c r="G118" s="2">
        <f>F118-E118</f>
        <v>55</v>
      </c>
      <c r="H118" s="2" t="s">
        <v>81</v>
      </c>
    </row>
    <row r="119" spans="1:8" x14ac:dyDescent="0.35">
      <c r="A119" s="2" t="s">
        <v>120</v>
      </c>
      <c r="B119" s="2">
        <v>1191</v>
      </c>
      <c r="C119" s="2">
        <v>-35.935000000000002</v>
      </c>
      <c r="D119" s="2">
        <v>173.85599999999999</v>
      </c>
      <c r="E119" s="2">
        <v>1905</v>
      </c>
      <c r="F119" s="2">
        <v>1990</v>
      </c>
      <c r="G119" s="2">
        <f>F119-E119</f>
        <v>85</v>
      </c>
      <c r="H119" s="2" t="s">
        <v>81</v>
      </c>
    </row>
    <row r="120" spans="1:8" x14ac:dyDescent="0.35">
      <c r="A120" s="2" t="s">
        <v>122</v>
      </c>
      <c r="B120" s="2">
        <v>1307</v>
      </c>
      <c r="C120" s="2">
        <v>-35.9</v>
      </c>
      <c r="D120" s="2">
        <v>174</v>
      </c>
      <c r="E120" s="2">
        <v>1916</v>
      </c>
      <c r="F120" s="2">
        <v>1948</v>
      </c>
      <c r="G120" s="2">
        <f>F120-E120</f>
        <v>32</v>
      </c>
      <c r="H120" s="2" t="s">
        <v>81</v>
      </c>
    </row>
    <row r="121" spans="1:8" x14ac:dyDescent="0.35">
      <c r="A121" s="2" t="s">
        <v>121</v>
      </c>
      <c r="B121" s="2">
        <v>1189</v>
      </c>
      <c r="C121" s="2">
        <v>-35.863999999999997</v>
      </c>
      <c r="D121" s="2">
        <v>173.8</v>
      </c>
      <c r="E121" s="2">
        <v>1951</v>
      </c>
      <c r="F121" s="2">
        <v>2025</v>
      </c>
      <c r="G121" s="2">
        <f>F121-E121</f>
        <v>74</v>
      </c>
      <c r="H121" s="2" t="s">
        <v>81</v>
      </c>
    </row>
    <row r="122" spans="1:8" x14ac:dyDescent="0.35">
      <c r="A122" s="2" t="s">
        <v>145</v>
      </c>
      <c r="B122" s="2">
        <v>1295</v>
      </c>
      <c r="C122" s="2">
        <v>-35.844999999999999</v>
      </c>
      <c r="D122" s="2">
        <v>174.29599999999999</v>
      </c>
      <c r="E122" s="2">
        <v>1970</v>
      </c>
      <c r="F122" s="2">
        <v>2005</v>
      </c>
      <c r="G122" s="2">
        <v>35</v>
      </c>
      <c r="H122" s="2" t="s">
        <v>81</v>
      </c>
    </row>
    <row r="123" spans="1:8" x14ac:dyDescent="0.35">
      <c r="A123" s="2" t="s">
        <v>125</v>
      </c>
      <c r="B123" s="2">
        <v>1293</v>
      </c>
      <c r="C123" s="2">
        <v>-35.841000000000001</v>
      </c>
      <c r="D123" s="2">
        <v>174.11600000000001</v>
      </c>
      <c r="E123" s="2">
        <v>1958</v>
      </c>
      <c r="F123" s="2">
        <v>1992</v>
      </c>
      <c r="G123" s="2">
        <f>F123-E123</f>
        <v>34</v>
      </c>
      <c r="H123" s="2" t="s">
        <v>81</v>
      </c>
    </row>
    <row r="124" spans="1:8" x14ac:dyDescent="0.35">
      <c r="A124" s="2" t="s">
        <v>144</v>
      </c>
      <c r="B124" s="2">
        <v>1287</v>
      </c>
      <c r="C124" s="2">
        <v>-35.770620000000001</v>
      </c>
      <c r="D124" s="2">
        <v>174.36285000000001</v>
      </c>
      <c r="E124" s="2">
        <v>1990</v>
      </c>
      <c r="F124" s="2">
        <v>2025</v>
      </c>
      <c r="G124" s="2">
        <v>35</v>
      </c>
      <c r="H124" s="2" t="s">
        <v>81</v>
      </c>
    </row>
    <row r="125" spans="1:8" x14ac:dyDescent="0.35">
      <c r="A125" s="2" t="s">
        <v>143</v>
      </c>
      <c r="B125" s="2">
        <v>1283</v>
      </c>
      <c r="C125" s="2">
        <v>-35.769550000000002</v>
      </c>
      <c r="D125" s="2">
        <v>174.36027999999999</v>
      </c>
      <c r="E125" s="2">
        <v>1943</v>
      </c>
      <c r="F125" s="2">
        <v>1988</v>
      </c>
      <c r="G125" s="2">
        <v>45</v>
      </c>
      <c r="H125" s="2" t="s">
        <v>81</v>
      </c>
    </row>
    <row r="126" spans="1:8" x14ac:dyDescent="0.35">
      <c r="A126" s="2" t="s">
        <v>127</v>
      </c>
      <c r="B126" s="2">
        <v>1269</v>
      </c>
      <c r="C126" s="2">
        <v>-35.759</v>
      </c>
      <c r="D126" s="2">
        <v>174.06700000000001</v>
      </c>
      <c r="E126" s="2">
        <v>1916</v>
      </c>
      <c r="F126" s="2">
        <v>1995</v>
      </c>
      <c r="G126" s="2">
        <f>F126-E126</f>
        <v>79</v>
      </c>
      <c r="H126" s="2" t="s">
        <v>81</v>
      </c>
    </row>
    <row r="127" spans="1:8" x14ac:dyDescent="0.35">
      <c r="A127" s="2" t="s">
        <v>142</v>
      </c>
      <c r="B127" s="2">
        <v>1275</v>
      </c>
      <c r="C127" s="2">
        <v>-35.756999999999998</v>
      </c>
      <c r="D127" s="2">
        <v>174.20699999999999</v>
      </c>
      <c r="E127" s="2">
        <v>1948</v>
      </c>
      <c r="F127" s="2">
        <v>1990</v>
      </c>
      <c r="G127" s="2">
        <v>42</v>
      </c>
      <c r="H127" s="2" t="s">
        <v>81</v>
      </c>
    </row>
    <row r="128" spans="1:8" x14ac:dyDescent="0.35">
      <c r="A128" s="2" t="s">
        <v>139</v>
      </c>
      <c r="B128" s="2">
        <v>1282</v>
      </c>
      <c r="C128" s="2">
        <v>-35.728999999999999</v>
      </c>
      <c r="D128" s="2">
        <v>174.339</v>
      </c>
      <c r="E128" s="2">
        <v>1909</v>
      </c>
      <c r="F128" s="2">
        <v>1967</v>
      </c>
      <c r="G128" s="2">
        <v>58</v>
      </c>
      <c r="H128" s="2" t="s">
        <v>81</v>
      </c>
    </row>
    <row r="129" spans="1:8" x14ac:dyDescent="0.35">
      <c r="A129" s="2" t="s">
        <v>126</v>
      </c>
      <c r="B129" s="2">
        <v>1184</v>
      </c>
      <c r="C129" s="2">
        <v>-35.717480000000002</v>
      </c>
      <c r="D129" s="2">
        <v>173.95265000000001</v>
      </c>
      <c r="E129" s="2">
        <v>1951</v>
      </c>
      <c r="F129" s="2">
        <v>2025</v>
      </c>
      <c r="G129" s="2">
        <f>F129-E129</f>
        <v>74</v>
      </c>
      <c r="H129" s="2" t="s">
        <v>81</v>
      </c>
    </row>
    <row r="130" spans="1:8" x14ac:dyDescent="0.35">
      <c r="A130" s="2" t="s">
        <v>115</v>
      </c>
      <c r="B130" s="2">
        <v>1183</v>
      </c>
      <c r="C130" s="2">
        <v>-35.716999999999999</v>
      </c>
      <c r="D130" s="2">
        <v>173.822</v>
      </c>
      <c r="E130" s="2">
        <v>1948</v>
      </c>
      <c r="F130" s="2">
        <v>1985</v>
      </c>
      <c r="G130" s="2">
        <f>F130-E130</f>
        <v>37</v>
      </c>
      <c r="H130" s="2" t="s">
        <v>81</v>
      </c>
    </row>
    <row r="131" spans="1:8" x14ac:dyDescent="0.35">
      <c r="A131" s="2" t="s">
        <v>129</v>
      </c>
      <c r="B131" s="2">
        <v>1270</v>
      </c>
      <c r="C131" s="2">
        <v>-35.713999999999999</v>
      </c>
      <c r="D131" s="2">
        <v>174.05699999999999</v>
      </c>
      <c r="E131" s="2">
        <v>1967</v>
      </c>
      <c r="F131" s="2">
        <v>2004</v>
      </c>
      <c r="G131" s="2">
        <f>F131-E131</f>
        <v>37</v>
      </c>
      <c r="H131" s="2" t="s">
        <v>81</v>
      </c>
    </row>
    <row r="132" spans="1:8" x14ac:dyDescent="0.35">
      <c r="A132" s="2" t="s">
        <v>108</v>
      </c>
      <c r="B132" s="2">
        <v>1158</v>
      </c>
      <c r="C132" s="2">
        <v>-35.683</v>
      </c>
      <c r="D132" s="2">
        <v>173.68299999999999</v>
      </c>
      <c r="E132" s="2">
        <v>1914</v>
      </c>
      <c r="F132" s="2">
        <v>1953</v>
      </c>
      <c r="G132" s="2">
        <f>F132-E132</f>
        <v>39</v>
      </c>
      <c r="H132" s="2" t="s">
        <v>81</v>
      </c>
    </row>
    <row r="133" spans="1:8" x14ac:dyDescent="0.35">
      <c r="A133" s="2" t="s">
        <v>138</v>
      </c>
      <c r="B133" s="2">
        <v>1256</v>
      </c>
      <c r="C133" s="2">
        <v>-35.664999999999999</v>
      </c>
      <c r="D133" s="2">
        <v>174.214</v>
      </c>
      <c r="E133" s="2">
        <v>1963</v>
      </c>
      <c r="F133" s="2">
        <v>2005</v>
      </c>
      <c r="G133" s="2">
        <v>42</v>
      </c>
      <c r="H133" s="2" t="s">
        <v>81</v>
      </c>
    </row>
    <row r="134" spans="1:8" x14ac:dyDescent="0.35">
      <c r="A134" s="2" t="s">
        <v>136</v>
      </c>
      <c r="B134" s="2">
        <v>1257</v>
      </c>
      <c r="C134" s="2">
        <v>-35.656999999999996</v>
      </c>
      <c r="D134" s="2">
        <v>174.345</v>
      </c>
      <c r="E134" s="2">
        <v>1947</v>
      </c>
      <c r="F134" s="2">
        <v>1987</v>
      </c>
      <c r="G134" s="2">
        <v>40</v>
      </c>
      <c r="H134" s="2" t="s">
        <v>81</v>
      </c>
    </row>
    <row r="135" spans="1:8" x14ac:dyDescent="0.35">
      <c r="A135" s="2" t="s">
        <v>140</v>
      </c>
      <c r="B135" s="2">
        <v>1169</v>
      </c>
      <c r="C135" s="2">
        <v>-35.654000000000003</v>
      </c>
      <c r="D135" s="2">
        <v>173.999</v>
      </c>
      <c r="E135" s="2">
        <v>1948</v>
      </c>
      <c r="F135" s="2">
        <v>1985</v>
      </c>
      <c r="G135" s="2">
        <v>37</v>
      </c>
      <c r="H135" s="2" t="s">
        <v>81</v>
      </c>
    </row>
    <row r="136" spans="1:8" x14ac:dyDescent="0.35">
      <c r="A136" s="2" t="s">
        <v>101</v>
      </c>
      <c r="B136" s="2">
        <v>1155</v>
      </c>
      <c r="C136" s="2">
        <v>-35.652999999999999</v>
      </c>
      <c r="D136" s="2">
        <v>173.55799999999999</v>
      </c>
      <c r="E136" s="2">
        <v>1928</v>
      </c>
      <c r="F136" s="2">
        <v>2011</v>
      </c>
      <c r="G136" s="2">
        <f>F136-E136</f>
        <v>83</v>
      </c>
      <c r="H136" s="2" t="s">
        <v>81</v>
      </c>
    </row>
    <row r="137" spans="1:8" x14ac:dyDescent="0.35">
      <c r="A137" s="2" t="s">
        <v>137</v>
      </c>
      <c r="B137" s="2">
        <v>1250</v>
      </c>
      <c r="C137" s="2">
        <v>-35.65</v>
      </c>
      <c r="D137" s="2">
        <v>174.18299999999999</v>
      </c>
      <c r="E137" s="2">
        <v>1905</v>
      </c>
      <c r="F137" s="2">
        <v>1963</v>
      </c>
      <c r="G137" s="2">
        <v>58</v>
      </c>
      <c r="H137" s="2" t="s">
        <v>81</v>
      </c>
    </row>
    <row r="138" spans="1:8" x14ac:dyDescent="0.35">
      <c r="A138" s="2" t="s">
        <v>102</v>
      </c>
      <c r="B138" s="2">
        <v>1164</v>
      </c>
      <c r="C138" s="2">
        <v>-35.628999999999998</v>
      </c>
      <c r="D138" s="2">
        <v>173.73</v>
      </c>
      <c r="E138" s="2">
        <v>1914</v>
      </c>
      <c r="F138" s="2">
        <v>2004</v>
      </c>
      <c r="G138" s="2">
        <f>F138-E138</f>
        <v>90</v>
      </c>
      <c r="H138" s="2" t="s">
        <v>81</v>
      </c>
    </row>
    <row r="139" spans="1:8" x14ac:dyDescent="0.35">
      <c r="A139" s="2" t="s">
        <v>133</v>
      </c>
      <c r="B139" s="2">
        <v>1255</v>
      </c>
      <c r="C139" s="2">
        <v>-35.621000000000002</v>
      </c>
      <c r="D139" s="2">
        <v>174.28700000000001</v>
      </c>
      <c r="E139" s="2">
        <v>1956</v>
      </c>
      <c r="F139" s="2">
        <v>1999</v>
      </c>
      <c r="G139" s="2">
        <v>43</v>
      </c>
      <c r="H139" s="2" t="s">
        <v>81</v>
      </c>
    </row>
    <row r="140" spans="1:8" x14ac:dyDescent="0.35">
      <c r="A140" s="2" t="s">
        <v>92</v>
      </c>
      <c r="B140" s="2">
        <v>1140</v>
      </c>
      <c r="C140" s="2">
        <v>-35.567</v>
      </c>
      <c r="D140" s="2">
        <v>173.55</v>
      </c>
      <c r="E140" s="2">
        <v>1908</v>
      </c>
      <c r="F140" s="2">
        <v>1958</v>
      </c>
      <c r="G140" s="2">
        <f>F140-E140</f>
        <v>50</v>
      </c>
      <c r="H140" s="2" t="s">
        <v>81</v>
      </c>
    </row>
    <row r="141" spans="1:8" x14ac:dyDescent="0.35">
      <c r="A141" s="2" t="s">
        <v>134</v>
      </c>
      <c r="B141" s="2">
        <v>1221</v>
      </c>
      <c r="C141" s="2">
        <v>-35.56568</v>
      </c>
      <c r="D141" s="2">
        <v>174.50567000000001</v>
      </c>
      <c r="E141" s="2">
        <v>1967</v>
      </c>
      <c r="F141" s="2">
        <v>2016</v>
      </c>
      <c r="G141" s="2">
        <v>49</v>
      </c>
      <c r="H141" s="2" t="s">
        <v>81</v>
      </c>
    </row>
    <row r="142" spans="1:8" x14ac:dyDescent="0.35">
      <c r="A142" s="2" t="s">
        <v>131</v>
      </c>
      <c r="B142" s="2">
        <v>1214</v>
      </c>
      <c r="C142" s="2">
        <v>-35.508000000000003</v>
      </c>
      <c r="D142" s="2">
        <v>174.27799999999999</v>
      </c>
      <c r="E142" s="2">
        <v>1905</v>
      </c>
      <c r="F142" s="2">
        <v>1988</v>
      </c>
      <c r="G142" s="2">
        <v>83</v>
      </c>
      <c r="H142" s="2" t="s">
        <v>81</v>
      </c>
    </row>
    <row r="143" spans="1:8" x14ac:dyDescent="0.35">
      <c r="A143" s="2" t="s">
        <v>113</v>
      </c>
      <c r="B143" s="2">
        <v>1207</v>
      </c>
      <c r="C143" s="2">
        <v>-35.488999999999997</v>
      </c>
      <c r="D143" s="2">
        <v>174.01900000000001</v>
      </c>
      <c r="E143" s="2">
        <v>1948</v>
      </c>
      <c r="F143" s="2">
        <v>1977</v>
      </c>
      <c r="G143" s="2">
        <f t="shared" ref="G143:G153" si="3">F143-E143</f>
        <v>29</v>
      </c>
      <c r="H143" s="2" t="s">
        <v>81</v>
      </c>
    </row>
    <row r="144" spans="1:8" x14ac:dyDescent="0.35">
      <c r="A144" s="2" t="s">
        <v>96</v>
      </c>
      <c r="B144" s="2">
        <v>1109</v>
      </c>
      <c r="C144" s="2">
        <v>-35.486879999999999</v>
      </c>
      <c r="D144" s="2">
        <v>173.41874999999999</v>
      </c>
      <c r="E144" s="2">
        <v>1967</v>
      </c>
      <c r="F144" s="2">
        <v>2007</v>
      </c>
      <c r="G144" s="2">
        <f t="shared" si="3"/>
        <v>40</v>
      </c>
      <c r="H144" s="2" t="s">
        <v>81</v>
      </c>
    </row>
    <row r="145" spans="1:8" x14ac:dyDescent="0.35">
      <c r="A145" s="2" t="s">
        <v>97</v>
      </c>
      <c r="B145" s="2">
        <v>1126</v>
      </c>
      <c r="C145" s="2">
        <v>-35.432000000000002</v>
      </c>
      <c r="D145" s="2">
        <v>173.78399999999999</v>
      </c>
      <c r="E145" s="2">
        <v>1922</v>
      </c>
      <c r="F145" s="2">
        <v>1971</v>
      </c>
      <c r="G145" s="2">
        <f t="shared" si="3"/>
        <v>49</v>
      </c>
      <c r="H145" s="2" t="s">
        <v>81</v>
      </c>
    </row>
    <row r="146" spans="1:8" x14ac:dyDescent="0.35">
      <c r="A146" s="2" t="s">
        <v>98</v>
      </c>
      <c r="B146" s="2">
        <v>1134</v>
      </c>
      <c r="C146" s="2">
        <v>-35.41722</v>
      </c>
      <c r="D146" s="2">
        <v>173.82289</v>
      </c>
      <c r="E146" s="2">
        <v>1985</v>
      </c>
      <c r="F146" s="2">
        <v>2025</v>
      </c>
      <c r="G146" s="2">
        <f t="shared" si="3"/>
        <v>40</v>
      </c>
      <c r="H146" s="2" t="s">
        <v>81</v>
      </c>
    </row>
    <row r="147" spans="1:8" x14ac:dyDescent="0.35">
      <c r="A147" s="2" t="s">
        <v>90</v>
      </c>
      <c r="B147" s="2">
        <v>1112</v>
      </c>
      <c r="C147" s="2">
        <v>-35.412730000000003</v>
      </c>
      <c r="D147" s="2">
        <v>173.51907</v>
      </c>
      <c r="E147" s="2">
        <v>1977</v>
      </c>
      <c r="F147" s="2">
        <v>2025</v>
      </c>
      <c r="G147" s="2">
        <f t="shared" si="3"/>
        <v>48</v>
      </c>
      <c r="H147" s="2" t="s">
        <v>81</v>
      </c>
    </row>
    <row r="148" spans="1:8" ht="29" x14ac:dyDescent="0.35">
      <c r="A148" s="2" t="s">
        <v>116</v>
      </c>
      <c r="B148" s="2">
        <v>1200</v>
      </c>
      <c r="C148" s="2">
        <v>-35.38035</v>
      </c>
      <c r="D148" s="2">
        <v>174.09135000000001</v>
      </c>
      <c r="E148" s="2">
        <v>1918</v>
      </c>
      <c r="F148" s="2">
        <v>2014</v>
      </c>
      <c r="G148" s="2">
        <f t="shared" si="3"/>
        <v>96</v>
      </c>
      <c r="H148" s="2" t="s">
        <v>81</v>
      </c>
    </row>
    <row r="149" spans="1:8" x14ac:dyDescent="0.35">
      <c r="A149" s="2" t="s">
        <v>88</v>
      </c>
      <c r="B149" s="2">
        <v>1091</v>
      </c>
      <c r="C149" s="2">
        <v>-35.366999999999997</v>
      </c>
      <c r="D149" s="2">
        <v>173.55</v>
      </c>
      <c r="E149" s="2">
        <v>1905</v>
      </c>
      <c r="F149" s="2">
        <v>1961</v>
      </c>
      <c r="G149" s="2">
        <f t="shared" si="3"/>
        <v>56</v>
      </c>
      <c r="H149" s="2" t="s">
        <v>81</v>
      </c>
    </row>
    <row r="150" spans="1:8" x14ac:dyDescent="0.35">
      <c r="A150" s="2" t="s">
        <v>100</v>
      </c>
      <c r="B150" s="2">
        <v>1089</v>
      </c>
      <c r="C150" s="2">
        <v>-35.302</v>
      </c>
      <c r="D150" s="2">
        <v>173.23099999999999</v>
      </c>
      <c r="E150" s="2">
        <v>1979</v>
      </c>
      <c r="F150" s="2">
        <v>2025</v>
      </c>
      <c r="G150" s="2">
        <f t="shared" si="3"/>
        <v>46</v>
      </c>
      <c r="H150" s="2" t="s">
        <v>81</v>
      </c>
    </row>
    <row r="151" spans="1:8" x14ac:dyDescent="0.35">
      <c r="A151" s="2" t="s">
        <v>91</v>
      </c>
      <c r="B151" s="2">
        <v>1095</v>
      </c>
      <c r="C151" s="2">
        <v>-35.299999999999997</v>
      </c>
      <c r="D151" s="2">
        <v>173.667</v>
      </c>
      <c r="E151" s="2">
        <v>1901</v>
      </c>
      <c r="F151" s="2">
        <v>1951</v>
      </c>
      <c r="G151" s="2">
        <f t="shared" si="3"/>
        <v>50</v>
      </c>
      <c r="H151" s="2" t="s">
        <v>81</v>
      </c>
    </row>
    <row r="152" spans="1:8" x14ac:dyDescent="0.35">
      <c r="A152" s="2" t="s">
        <v>89</v>
      </c>
      <c r="B152" s="2">
        <v>1092</v>
      </c>
      <c r="C152" s="2">
        <v>-35.295999999999999</v>
      </c>
      <c r="D152" s="2">
        <v>173.566</v>
      </c>
      <c r="E152" s="2">
        <v>1954</v>
      </c>
      <c r="F152" s="2">
        <v>1985</v>
      </c>
      <c r="G152" s="2">
        <f t="shared" si="3"/>
        <v>31</v>
      </c>
      <c r="H152" s="2" t="s">
        <v>81</v>
      </c>
    </row>
    <row r="153" spans="1:8" x14ac:dyDescent="0.35">
      <c r="A153" s="2" t="s">
        <v>103</v>
      </c>
      <c r="B153" s="2">
        <v>1061</v>
      </c>
      <c r="C153" s="2">
        <v>-35.265999999999998</v>
      </c>
      <c r="D153" s="2">
        <v>173.22</v>
      </c>
      <c r="E153" s="2">
        <v>1916</v>
      </c>
      <c r="F153" s="2">
        <v>1992</v>
      </c>
      <c r="G153" s="2">
        <f t="shared" si="3"/>
        <v>76</v>
      </c>
      <c r="H153" s="2" t="s">
        <v>81</v>
      </c>
    </row>
    <row r="154" spans="1:8" x14ac:dyDescent="0.35">
      <c r="A154" s="2" t="s">
        <v>132</v>
      </c>
      <c r="B154" s="2">
        <v>1199</v>
      </c>
      <c r="C154" s="2">
        <v>-35.265320000000003</v>
      </c>
      <c r="D154" s="2">
        <v>174.12182000000001</v>
      </c>
      <c r="E154" s="2">
        <v>1919</v>
      </c>
      <c r="F154" s="2">
        <v>2021</v>
      </c>
      <c r="G154" s="2">
        <v>102</v>
      </c>
      <c r="H154" s="2" t="s">
        <v>81</v>
      </c>
    </row>
    <row r="155" spans="1:8" x14ac:dyDescent="0.35">
      <c r="A155" s="2" t="s">
        <v>141</v>
      </c>
      <c r="B155" s="2">
        <v>1087</v>
      </c>
      <c r="C155" s="2">
        <v>-35.264690000000002</v>
      </c>
      <c r="D155" s="2">
        <v>173.91134</v>
      </c>
      <c r="E155" s="2">
        <v>1978</v>
      </c>
      <c r="F155" s="2">
        <v>2021</v>
      </c>
      <c r="G155" s="2">
        <v>43</v>
      </c>
      <c r="H155" s="2" t="s">
        <v>81</v>
      </c>
    </row>
    <row r="156" spans="1:8" x14ac:dyDescent="0.35">
      <c r="A156" s="2" t="s">
        <v>95</v>
      </c>
      <c r="B156" s="2">
        <v>1067</v>
      </c>
      <c r="C156" s="2">
        <v>-35.261000000000003</v>
      </c>
      <c r="D156" s="2">
        <v>173.39</v>
      </c>
      <c r="E156" s="2">
        <v>1929</v>
      </c>
      <c r="F156" s="2">
        <v>1988</v>
      </c>
      <c r="G156" s="2">
        <f>F156-E156</f>
        <v>59</v>
      </c>
      <c r="H156" s="2" t="s">
        <v>81</v>
      </c>
    </row>
    <row r="157" spans="1:8" x14ac:dyDescent="0.35">
      <c r="A157" s="2" t="s">
        <v>93</v>
      </c>
      <c r="B157" s="2">
        <v>1082</v>
      </c>
      <c r="C157" s="2">
        <v>-35.246749999999999</v>
      </c>
      <c r="D157" s="2">
        <v>173.81553</v>
      </c>
      <c r="E157" s="2">
        <v>1951</v>
      </c>
      <c r="F157" s="2">
        <v>2003</v>
      </c>
      <c r="G157" s="2">
        <f>F157-E157</f>
        <v>52</v>
      </c>
      <c r="H157" s="2" t="s">
        <v>81</v>
      </c>
    </row>
    <row r="158" spans="1:8" x14ac:dyDescent="0.35">
      <c r="A158" s="2" t="s">
        <v>107</v>
      </c>
      <c r="B158" s="2">
        <v>1056</v>
      </c>
      <c r="C158" s="2">
        <v>-35.183</v>
      </c>
      <c r="D158" s="2">
        <v>173.92599999999999</v>
      </c>
      <c r="E158" s="2">
        <v>1981</v>
      </c>
      <c r="F158" s="2">
        <v>2025</v>
      </c>
      <c r="G158" s="2">
        <f>F158-E158</f>
        <v>44</v>
      </c>
      <c r="H158" s="2" t="s">
        <v>81</v>
      </c>
    </row>
    <row r="159" spans="1:8" x14ac:dyDescent="0.35">
      <c r="A159" s="2" t="s">
        <v>135</v>
      </c>
      <c r="B159" s="2">
        <v>1197</v>
      </c>
      <c r="C159" s="2">
        <v>-35.173000000000002</v>
      </c>
      <c r="D159" s="2">
        <v>174.32900000000001</v>
      </c>
      <c r="E159" s="2">
        <v>1934</v>
      </c>
      <c r="F159" s="2">
        <v>1978</v>
      </c>
      <c r="G159" s="2">
        <v>44</v>
      </c>
      <c r="H159" s="2" t="s">
        <v>81</v>
      </c>
    </row>
    <row r="160" spans="1:8" x14ac:dyDescent="0.35">
      <c r="A160" s="2" t="s">
        <v>114</v>
      </c>
      <c r="B160" s="2">
        <v>1036</v>
      </c>
      <c r="C160" s="2">
        <v>-35.164999999999999</v>
      </c>
      <c r="D160" s="2">
        <v>173.15799999999999</v>
      </c>
      <c r="E160" s="2">
        <v>1961</v>
      </c>
      <c r="F160" s="2">
        <v>1997</v>
      </c>
      <c r="G160" s="2">
        <f t="shared" ref="G160:G178" si="4">F160-E160</f>
        <v>36</v>
      </c>
      <c r="H160" s="2" t="s">
        <v>81</v>
      </c>
    </row>
    <row r="161" spans="1:8" x14ac:dyDescent="0.35">
      <c r="A161" s="2" t="s">
        <v>94</v>
      </c>
      <c r="B161" s="2">
        <v>1049</v>
      </c>
      <c r="C161" s="2">
        <v>-35.128</v>
      </c>
      <c r="D161" s="2">
        <v>173.495</v>
      </c>
      <c r="E161" s="2">
        <v>1962</v>
      </c>
      <c r="F161" s="2">
        <v>1998</v>
      </c>
      <c r="G161" s="2">
        <f t="shared" si="4"/>
        <v>36</v>
      </c>
      <c r="H161" s="2" t="s">
        <v>81</v>
      </c>
    </row>
    <row r="162" spans="1:8" x14ac:dyDescent="0.35">
      <c r="A162" s="2" t="s">
        <v>118</v>
      </c>
      <c r="B162" s="2">
        <v>1196</v>
      </c>
      <c r="C162" s="2">
        <v>-35.125439999999998</v>
      </c>
      <c r="D162" s="2">
        <v>174.01680999999999</v>
      </c>
      <c r="E162" s="2">
        <v>1983</v>
      </c>
      <c r="F162" s="2">
        <v>2025</v>
      </c>
      <c r="G162" s="2">
        <f t="shared" si="4"/>
        <v>42</v>
      </c>
      <c r="H162" s="2" t="s">
        <v>81</v>
      </c>
    </row>
    <row r="163" spans="1:8" x14ac:dyDescent="0.35">
      <c r="A163" s="2" t="s">
        <v>109</v>
      </c>
      <c r="B163" s="2">
        <v>1037</v>
      </c>
      <c r="C163" s="2">
        <v>-35.113999999999997</v>
      </c>
      <c r="D163" s="2">
        <v>173.25899999999999</v>
      </c>
      <c r="E163" s="2">
        <v>1893</v>
      </c>
      <c r="F163" s="2">
        <v>2013</v>
      </c>
      <c r="G163" s="2">
        <f t="shared" si="4"/>
        <v>120</v>
      </c>
      <c r="H163" s="2" t="s">
        <v>81</v>
      </c>
    </row>
    <row r="164" spans="1:8" x14ac:dyDescent="0.35">
      <c r="A164" s="2" t="s">
        <v>99</v>
      </c>
      <c r="B164" s="2">
        <v>1046</v>
      </c>
      <c r="C164" s="2">
        <v>-35.107999999999997</v>
      </c>
      <c r="D164" s="2">
        <v>173.40600000000001</v>
      </c>
      <c r="E164" s="2">
        <v>1936</v>
      </c>
      <c r="F164" s="2">
        <v>1974</v>
      </c>
      <c r="G164" s="2">
        <f t="shared" si="4"/>
        <v>38</v>
      </c>
      <c r="H164" s="2" t="s">
        <v>81</v>
      </c>
    </row>
    <row r="165" spans="1:8" x14ac:dyDescent="0.35">
      <c r="A165" s="2" t="s">
        <v>105</v>
      </c>
      <c r="B165" s="2">
        <v>1044</v>
      </c>
      <c r="C165" s="2">
        <v>-35.101999999999997</v>
      </c>
      <c r="D165" s="2">
        <v>173.33500000000001</v>
      </c>
      <c r="E165" s="2">
        <v>1913</v>
      </c>
      <c r="F165" s="2">
        <v>1979</v>
      </c>
      <c r="G165" s="2">
        <f t="shared" si="4"/>
        <v>66</v>
      </c>
      <c r="H165" s="2" t="s">
        <v>81</v>
      </c>
    </row>
    <row r="166" spans="1:8" x14ac:dyDescent="0.35">
      <c r="A166" s="2" t="s">
        <v>104</v>
      </c>
      <c r="B166" s="2">
        <v>1054</v>
      </c>
      <c r="C166" s="2">
        <v>-35.1</v>
      </c>
      <c r="D166" s="2">
        <v>173.78299999999999</v>
      </c>
      <c r="E166" s="2">
        <v>1918</v>
      </c>
      <c r="F166" s="2">
        <v>1952</v>
      </c>
      <c r="G166" s="2">
        <f t="shared" si="4"/>
        <v>34</v>
      </c>
      <c r="H166" s="2" t="s">
        <v>81</v>
      </c>
    </row>
    <row r="167" spans="1:8" x14ac:dyDescent="0.35">
      <c r="A167" s="2" t="s">
        <v>112</v>
      </c>
      <c r="B167" s="2">
        <v>1024</v>
      </c>
      <c r="C167" s="2">
        <v>-35.067</v>
      </c>
      <c r="D167" s="2">
        <v>173.28700000000001</v>
      </c>
      <c r="E167" s="2">
        <v>1948</v>
      </c>
      <c r="F167" s="2">
        <v>1985</v>
      </c>
      <c r="G167" s="2">
        <f t="shared" si="4"/>
        <v>37</v>
      </c>
      <c r="H167" s="2" t="s">
        <v>81</v>
      </c>
    </row>
    <row r="168" spans="1:8" x14ac:dyDescent="0.35">
      <c r="A168" s="2" t="s">
        <v>106</v>
      </c>
      <c r="B168" s="2">
        <v>1033</v>
      </c>
      <c r="C168" s="2">
        <v>-35.057000000000002</v>
      </c>
      <c r="D168" s="2">
        <v>173.74</v>
      </c>
      <c r="E168" s="2">
        <v>1981</v>
      </c>
      <c r="F168" s="2">
        <v>2025</v>
      </c>
      <c r="G168" s="2">
        <f t="shared" si="4"/>
        <v>44</v>
      </c>
      <c r="H168" s="2" t="s">
        <v>81</v>
      </c>
    </row>
    <row r="169" spans="1:8" x14ac:dyDescent="0.35">
      <c r="A169" s="2" t="s">
        <v>111</v>
      </c>
      <c r="B169" s="2">
        <v>1029</v>
      </c>
      <c r="C169" s="2">
        <v>-35.045000000000002</v>
      </c>
      <c r="D169" s="2">
        <v>173.33799999999999</v>
      </c>
      <c r="E169" s="2">
        <v>1962</v>
      </c>
      <c r="F169" s="2">
        <v>1995</v>
      </c>
      <c r="G169" s="2">
        <f t="shared" si="4"/>
        <v>33</v>
      </c>
      <c r="H169" s="2" t="s">
        <v>81</v>
      </c>
    </row>
    <row r="170" spans="1:8" x14ac:dyDescent="0.35">
      <c r="A170" s="2" t="s">
        <v>117</v>
      </c>
      <c r="B170" s="2">
        <v>1025</v>
      </c>
      <c r="C170" s="2">
        <v>-35.029000000000003</v>
      </c>
      <c r="D170" s="2">
        <v>173.24299999999999</v>
      </c>
      <c r="E170" s="2">
        <v>1955</v>
      </c>
      <c r="F170" s="2">
        <v>1988</v>
      </c>
      <c r="G170" s="2">
        <f t="shared" si="4"/>
        <v>33</v>
      </c>
      <c r="H170" s="2" t="s">
        <v>81</v>
      </c>
    </row>
    <row r="171" spans="1:8" x14ac:dyDescent="0.35">
      <c r="A171" s="2" t="s">
        <v>110</v>
      </c>
      <c r="B171" s="2">
        <v>1022</v>
      </c>
      <c r="C171" s="2">
        <v>-34.997</v>
      </c>
      <c r="D171" s="2">
        <v>173.53200000000001</v>
      </c>
      <c r="E171" s="2">
        <v>1901</v>
      </c>
      <c r="F171" s="2">
        <v>1996</v>
      </c>
      <c r="G171" s="2">
        <f t="shared" si="4"/>
        <v>95</v>
      </c>
      <c r="H171" s="2" t="s">
        <v>81</v>
      </c>
    </row>
    <row r="172" spans="1:8" x14ac:dyDescent="0.35">
      <c r="A172" s="2" t="s">
        <v>87</v>
      </c>
      <c r="B172" s="2">
        <v>1018</v>
      </c>
      <c r="C172" s="2">
        <v>-34.950000000000003</v>
      </c>
      <c r="D172" s="2">
        <v>173.19499999999999</v>
      </c>
      <c r="E172" s="2">
        <v>1956</v>
      </c>
      <c r="F172" s="2">
        <v>2025</v>
      </c>
      <c r="G172" s="2">
        <f t="shared" si="4"/>
        <v>69</v>
      </c>
      <c r="H172" s="2" t="s">
        <v>81</v>
      </c>
    </row>
    <row r="173" spans="1:8" x14ac:dyDescent="0.35">
      <c r="A173" s="2" t="s">
        <v>84</v>
      </c>
      <c r="B173" s="2">
        <v>1011</v>
      </c>
      <c r="C173" s="2">
        <v>-34.704000000000001</v>
      </c>
      <c r="D173" s="2">
        <v>173.029</v>
      </c>
      <c r="E173" s="2">
        <v>1967</v>
      </c>
      <c r="F173" s="2">
        <v>1996</v>
      </c>
      <c r="G173" s="2">
        <f t="shared" si="4"/>
        <v>29</v>
      </c>
      <c r="H173" s="2" t="s">
        <v>81</v>
      </c>
    </row>
    <row r="174" spans="1:8" x14ac:dyDescent="0.35">
      <c r="A174" s="2" t="s">
        <v>80</v>
      </c>
      <c r="B174" s="2">
        <v>1008</v>
      </c>
      <c r="C174" s="2">
        <v>-34.572000000000003</v>
      </c>
      <c r="D174" s="2">
        <v>172.893</v>
      </c>
      <c r="E174" s="2">
        <v>1970</v>
      </c>
      <c r="F174" s="2">
        <v>2011</v>
      </c>
      <c r="G174" s="2">
        <f t="shared" si="4"/>
        <v>41</v>
      </c>
      <c r="H174" s="2" t="s">
        <v>81</v>
      </c>
    </row>
    <row r="175" spans="1:8" x14ac:dyDescent="0.35">
      <c r="A175" s="2" t="s">
        <v>82</v>
      </c>
      <c r="B175" s="2">
        <v>1007</v>
      </c>
      <c r="C175" s="2">
        <v>-34.533000000000001</v>
      </c>
      <c r="D175" s="2">
        <v>172.93299999999999</v>
      </c>
      <c r="E175" s="2">
        <v>1894</v>
      </c>
      <c r="F175" s="2">
        <v>1941</v>
      </c>
      <c r="G175" s="2">
        <f t="shared" si="4"/>
        <v>47</v>
      </c>
      <c r="H175" s="2" t="s">
        <v>81</v>
      </c>
    </row>
    <row r="176" spans="1:8" x14ac:dyDescent="0.35">
      <c r="A176" s="2" t="s">
        <v>83</v>
      </c>
      <c r="B176" s="2">
        <v>1005</v>
      </c>
      <c r="C176" s="2">
        <v>-34.508000000000003</v>
      </c>
      <c r="D176" s="2">
        <v>172.79499999999999</v>
      </c>
      <c r="E176" s="2">
        <v>1931</v>
      </c>
      <c r="F176" s="2">
        <v>1973</v>
      </c>
      <c r="G176" s="2">
        <f t="shared" si="4"/>
        <v>42</v>
      </c>
      <c r="H176" s="2" t="s">
        <v>81</v>
      </c>
    </row>
    <row r="177" spans="1:8" x14ac:dyDescent="0.35">
      <c r="A177" s="2" t="s">
        <v>86</v>
      </c>
      <c r="B177" s="2">
        <v>1001</v>
      </c>
      <c r="C177" s="2">
        <v>-34.430999999999997</v>
      </c>
      <c r="D177" s="2">
        <v>172.679</v>
      </c>
      <c r="E177" s="2">
        <v>1919</v>
      </c>
      <c r="F177" s="2">
        <v>1987</v>
      </c>
      <c r="G177" s="2">
        <f t="shared" si="4"/>
        <v>68</v>
      </c>
      <c r="H177" s="2" t="s">
        <v>81</v>
      </c>
    </row>
    <row r="178" spans="1:8" x14ac:dyDescent="0.35">
      <c r="A178" s="2" t="s">
        <v>85</v>
      </c>
      <c r="B178" s="2">
        <v>1002</v>
      </c>
      <c r="C178" s="2">
        <v>-34.429639999999999</v>
      </c>
      <c r="D178" s="2">
        <v>172.68186</v>
      </c>
      <c r="E178" s="2">
        <v>1983</v>
      </c>
      <c r="F178" s="2">
        <v>2025</v>
      </c>
      <c r="G178" s="2">
        <f t="shared" si="4"/>
        <v>42</v>
      </c>
      <c r="H178" s="2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Morgan (Student)</dc:creator>
  <cp:lastModifiedBy>Harris, Morgan (Student)</cp:lastModifiedBy>
  <dcterms:created xsi:type="dcterms:W3CDTF">2025-09-21T19:10:26Z</dcterms:created>
  <dcterms:modified xsi:type="dcterms:W3CDTF">2025-11-18T19:11:35Z</dcterms:modified>
</cp:coreProperties>
</file>